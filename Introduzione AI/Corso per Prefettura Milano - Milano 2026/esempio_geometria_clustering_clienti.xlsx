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2b8c626ce3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a" sheetId="1" r:id="R9cec8c1188ca4bcf"/>
    <x:sheet xmlns:r="http://schemas.openxmlformats.org/officeDocument/2006/relationships" name="Clienti" sheetId="2" r:id="R7456875947c045e4"/>
    <x:sheet xmlns:r="http://schemas.openxmlformats.org/officeDocument/2006/relationships" name="Centroidi" sheetId="3" r:id="Raa315063235f455e"/>
    <x:sheet xmlns:r="http://schemas.openxmlformats.org/officeDocument/2006/relationships" name="Geometria" sheetId="4" r:id="R3923f87d65be479a"/>
    <x:sheet xmlns:r="http://schemas.openxmlformats.org/officeDocument/2006/relationships" name="Grafico 3D" sheetId="5" r:id="R610ff4e283de46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"/>
    <x:numFmt numFmtId="201" formatCode="0.00"/>
    <x:numFmt numFmtId="202" formatCode="0.0%"/>
    <x:numFmt numFmtId="203" formatCode="#,##0"/>
    <x:numFmt numFmtId="204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6324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2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7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70AD47"/>
      </x:patternFill>
    </x:fill>
    <x:fill>
      <x:patternFill patternType="solid">
        <x:fgColor rgb="FFF4B183"/>
      </x:patternFill>
    </x:fill>
    <x:fill>
      <x:patternFill patternType="solid">
        <x:fgColor rgb="FFF5F7FA"/>
      </x:patternFill>
    </x:fill>
    <x:fill>
      <x:patternFill patternType="solid">
        <x:fgColor rgb="FFED7D31"/>
      </x:patternFill>
    </x:fill>
    <x:fill>
      <x:patternFill patternType="solid">
        <x:fgColor rgb="FF16324F"/>
      </x:patternFill>
    </x:fill>
  </x:fills>
  <x:borders count="16">
    <x:border/>
    <x:border/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bottom style="hair">
        <x:color rgb="FFD9E1F2"/>
      </x:bottom>
    </x:border>
    <x:border>
      <x:bottom style="hair">
        <x:color rgb="FFD9E1F2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14" xfId="0" applyNumberFormat="1" applyFont="1" applyFill="1" applyBorder="1"/>
    <x:xf numFmtId="203" fontId="0" fillId="0" borderId="14" xfId="0" applyNumberFormat="1" applyFont="1" applyFill="1" applyBorder="1"/>
    <x:xf numFmtId="204" fontId="0" fillId="0" borderId="14" xfId="0" applyNumberFormat="1" applyFont="1" applyFill="1" applyBorder="1"/>
    <x:xf numFmtId="202" fontId="0" fillId="0" borderId="14" xfId="0" applyNumberFormat="1" applyFont="1" applyFill="1" applyBorder="1"/>
    <x:xf numFmtId="201" fontId="0" fillId="0" borderId="14" xfId="0" applyNumberFormat="1" applyFont="1" applyFill="1" applyBorder="1"/>
    <x:xf numFmtId="0" fontId="0" fillId="0" borderId="15" xfId="0" applyNumberFormat="1" applyFont="1" applyFill="1" applyBorder="1"/>
    <x:xf numFmtId="203" fontId="0" fillId="0" borderId="15" xfId="0" applyNumberFormat="1" applyFont="1" applyFill="1" applyBorder="1"/>
    <x:xf numFmtId="204" fontId="0" fillId="0" borderId="15" xfId="0" applyNumberFormat="1" applyFont="1" applyFill="1" applyBorder="1"/>
    <x:xf numFmtId="202" fontId="0" fillId="0" borderId="15" xfId="0" applyNumberFormat="1" applyFont="1" applyFill="1" applyBorder="1"/>
    <x:xf numFmtId="201" fontId="0" fillId="0" borderId="15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18383557db4a37" /><Relationship Type="http://schemas.openxmlformats.org/officeDocument/2006/relationships/theme" Target="/xl/theme/theme1.xml" Id="R2f2ed1d37ed84bfd" /><Relationship Type="http://schemas.openxmlformats.org/officeDocument/2006/relationships/sharedStrings" Target="/xl/sharedStrings.xml" Id="R5e0862a8ddbb4c69" /><Relationship Type="http://schemas.openxmlformats.org/officeDocument/2006/relationships/worksheet" Target="/xl/worksheets/sheet1.xml" Id="R9cec8c1188ca4bcf" /><Relationship Type="http://schemas.openxmlformats.org/officeDocument/2006/relationships/worksheet" Target="/xl/worksheets/sheet2.xml" Id="R7456875947c045e4" /><Relationship Type="http://schemas.openxmlformats.org/officeDocument/2006/relationships/worksheet" Target="/xl/worksheets/sheet3.xml" Id="Raa315063235f455e" /><Relationship Type="http://schemas.openxmlformats.org/officeDocument/2006/relationships/worksheet" Target="/xl/worksheets/sheet4.xml" Id="R3923f87d65be479a" /><Relationship Type="http://schemas.openxmlformats.org/officeDocument/2006/relationships/worksheet" Target="/xl/worksheets/sheet5.xml" Id="R610ff4e283de46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3c003bb07d47cc" /><Relationship Type="http://schemas.openxmlformats.org/officeDocument/2006/relationships/chart" Target="/xl/drawings/charts/chart2.xml" Id="Re3cd8a7c0864467d" /><Relationship Type="http://schemas.openxmlformats.org/officeDocument/2006/relationships/chart" Target="/xl/drawings/charts/chart3.xml" Id="R5cd161290411441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png" Id="R84fe7cf839d444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Proiezione 1: spesa annua vs acquisti/mese</a:t>
            </a:r>
          </a:p>
        </c:rich>
      </c:tx>
    </c:title>
    <c:plotArea>
      <c:scatterChart>
        <c:scatterStyle val="marker"/>
        <c:ser>
          <c:idx val="0"/>
          <c:order val="0"/>
          <c:tx>
            <c:v>Occasionali</c:v>
          </c:tx>
          <c:xVal>
            <c:numLit>
              <c:formatCode>General</c:formatCode>
              <c:ptCount val="0"/>
            </c:numLit>
          </c:xVal>
          <c:yVal>
            <c:numRef>
              <c:f>='Geometria'!$B$10:$B$34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Abituali</c:v>
          </c:tx>
          <c:xVal>
            <c:numLit>
              <c:formatCode>General</c:formatCode>
              <c:ptCount val="0"/>
            </c:numLit>
          </c:xVal>
          <c:yVal>
            <c:numRef>
              <c:f>='Geometria'!$F$10:$F$34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Premium</c:v>
          </c:tx>
          <c:xVal>
            <c:numLit>
              <c:formatCode>General</c:formatCode>
              <c:ptCount val="0"/>
            </c:numLit>
          </c:xVal>
          <c:yVal>
            <c:numRef>
              <c:f>='Geometria'!$J$10:$J$34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Proiezione 2: spesa annua vs quota premium</a:t>
            </a:r>
          </a:p>
        </c:rich>
      </c:tx>
    </c:title>
    <c:plotArea>
      <c:scatterChart>
        <c:scatterStyle val="marker"/>
        <c:ser>
          <c:idx val="0"/>
          <c:order val="0"/>
          <c:tx>
            <c:v>Occasionali</c:v>
          </c:tx>
          <c:xVal>
            <c:numLit>
              <c:formatCode>General</c:formatCode>
              <c:ptCount val="0"/>
            </c:numLit>
          </c:xVal>
          <c:yVal>
            <c:numRef>
              <c:f>='Geometria'!$C$10:$C$34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Abituali</c:v>
          </c:tx>
          <c:xVal>
            <c:numLit>
              <c:formatCode>General</c:formatCode>
              <c:ptCount val="0"/>
            </c:numLit>
          </c:xVal>
          <c:yVal>
            <c:numRef>
              <c:f>='Geometria'!$G$10:$G$34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Premium</c:v>
          </c:tx>
          <c:xVal>
            <c:numLit>
              <c:formatCode>General</c:formatCode>
              <c:ptCount val="0"/>
            </c:numLit>
          </c:xVal>
          <c:yVal>
            <c:numRef>
              <c:f>='Geometria'!$K$10:$K$34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Proiezione 3: acquisti/mese vs quota premium</a:t>
            </a:r>
          </a:p>
        </c:rich>
      </c:tx>
    </c:title>
    <c:plotArea>
      <c:scatterChart>
        <c:scatterStyle val="marker"/>
        <c:ser>
          <c:idx val="0"/>
          <c:order val="0"/>
          <c:tx>
            <c:v>Occasionali</c:v>
          </c:tx>
          <c:xVal>
            <c:numLit>
              <c:formatCode>General</c:formatCode>
              <c:ptCount val="0"/>
            </c:numLit>
          </c:xVal>
          <c:yVal>
            <c:numRef>
              <c:f>='Geometria'!$C$10:$C$34</c:f>
              <c:numCache>
                <c:formatCode>General</c:formatCode>
                <c:ptCount val="0"/>
              </c:numCache>
            </c:numRef>
          </c:yVal>
        </c:ser>
        <c:ser>
          <c:idx val="1"/>
          <c:order val="1"/>
          <c:tx>
            <c:v>Abituali</c:v>
          </c:tx>
          <c:xVal>
            <c:numLit>
              <c:formatCode>General</c:formatCode>
              <c:ptCount val="0"/>
            </c:numLit>
          </c:xVal>
          <c:yVal>
            <c:numRef>
              <c:f>='Geometria'!$G$10:$G$34</c:f>
              <c:numCache>
                <c:formatCode>General</c:formatCode>
                <c:ptCount val="0"/>
              </c:numCache>
            </c:numRef>
          </c:yVal>
        </c:ser>
        <c:ser>
          <c:idx val="2"/>
          <c:order val="2"/>
          <c:tx>
            <c:v>Premium</c:v>
          </c:tx>
          <c:xVal>
            <c:numLit>
              <c:formatCode>General</c:formatCode>
              <c:ptCount val="0"/>
            </c:numLit>
          </c:xVal>
          <c:yVal>
            <c:numRef>
              <c:f>='Geometria'!$K$10:$K$34</c:f>
              <c:numCache>
                <c:formatCode>General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8</xdr:row>
      <xdr:rowOff>0</xdr:rowOff>
    </xdr:from>
    <xdr:to>
      <xdr:col>20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3c003bb07d47cc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20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cd8a7c0864467d"/>
        </a:graphicData>
      </a:graphic>
    </xdr:graphicFrame>
    <xdr:clientData/>
  </xdr:twoCellAnchor>
  <xdr:twoCellAnchor>
    <xdr:from>
      <xdr:col>12</xdr:col>
      <xdr:colOff>0</xdr:colOff>
      <xdr:row>40</xdr:row>
      <xdr:rowOff>0</xdr:rowOff>
    </xdr:from>
    <xdr:to>
      <xdr:col>20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d161290411441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76200</xdr:colOff>
      <xdr:row>8</xdr:row>
      <xdr:rowOff>47625</xdr:rowOff>
    </xdr:from>
    <xdr:ext cx="9715500" cy="6762750"/>
    <xdr:pic>
      <xdr:nvPicPr>
        <xdr:cNvPr id="1" name="85aada5f-acbd-4ecf-aa91-98b1e39b9b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fe7cf839d444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ClientiTable" displayName="ClientiTable" ref="A1:L76" headerRowCount="1" totalsRowCount="0" totalsRowShown="0">
  <x:tableColumns count="12">
    <x:tableColumn id="1" name="Cliente"/>
    <x:tableColumn id="2" name="Spesa annua (€)"/>
    <x:tableColumn id="3" name="Acquisti/mese"/>
    <x:tableColumn id="4" name="Quota premium"/>
    <x:tableColumn id="5" name="Z spesa"/>
    <x:tableColumn id="6" name="Z frequenza"/>
    <x:tableColumn id="7" name="Z premium"/>
    <x:tableColumn id="8" name="Distanza C1"/>
    <x:tableColumn id="9" name="Distanza C2"/>
    <x:tableColumn id="10" name="Distanza C3"/>
    <x:tableColumn id="11" name="Cluster"/>
    <x:tableColumn id="12" name="Segmen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6b24d6899948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3af1ae1fd8e340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256df088a9b04f9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Dai dati alla geometria: un esempio semplice di clustering dei clienti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1. L'idea geometrica</x:v>
      </x:c>
      <x:c r="B4" s="11"/>
      <x:c r="C4" s="11"/>
      <x:c r="D4" s="11"/>
      <x:c r="E4" s="11"/>
      <x:c r="F4" s="11"/>
      <x:c r="G4" s="11"/>
      <x:c r="H4" s="11"/>
    </x:row>
    <x:row r="5">
      <x:c r="A5" s="16" t="str">
        <x:v>Ogni cliente è descritto da tre caratteristiche commerciali: spesa annua, frequenza di acquisto e quota di acquisti premium. Questi tre numeri possono essere letti come coordinate (x, y, z): ogni cliente diventa quindi un punto in uno spazio tridimensionale. Se due clienti hanno valori simili sulle tre caratteristiche, i loro punti saranno vicini.</x:v>
      </x:c>
      <x:c r="B5" s="16"/>
      <x:c r="C5" s="16"/>
      <x:c r="D5" s="16"/>
      <x:c r="E5" s="16"/>
      <x:c r="F5" s="16"/>
      <x:c r="G5" s="16"/>
      <x:c r="H5" s="16"/>
    </x:row>
    <x:row r="6">
      <x:c r="A6" s="16"/>
      <x:c r="B6" s="16"/>
      <x:c r="C6" s="16"/>
      <x:c r="D6" s="16"/>
      <x:c r="E6" s="16"/>
      <x:c r="F6" s="16"/>
      <x:c r="G6" s="16"/>
      <x:c r="H6" s="16"/>
    </x:row>
    <x:row r="7">
      <x:c r="A7" s="16"/>
      <x:c r="B7" s="16"/>
      <x:c r="C7" s="16"/>
      <x:c r="D7" s="16"/>
      <x:c r="E7" s="16"/>
      <x:c r="F7" s="16"/>
      <x:c r="G7" s="16"/>
      <x:c r="H7" s="16"/>
    </x:row>
    <x:row r="8">
      <x:c r="A8" s="16"/>
      <x:c r="B8" s="16"/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1">
      <x:c r="A11" s="23" t="str">
        <x:v>Caratteristica</x:v>
      </x:c>
      <x:c r="B11" s="24" t="str">
        <x:v>Interpretazione geometrica</x:v>
      </x:c>
      <x:c r="D11" s="36" t="str">
        <x:v>2. Perché standardizzare?</x:v>
      </x:c>
      <x:c r="E11" s="36"/>
      <x:c r="F11" s="36"/>
      <x:c r="G11" s="36"/>
      <x:c r="H11" s="36"/>
    </x:row>
    <x:row r="12">
      <x:c r="A12" s="25" t="str">
        <x:v>Spesa annua (€)</x:v>
      </x:c>
      <x:c r="B12" s="26" t="str">
        <x:v>Asse X</x:v>
      </x:c>
      <x:c r="D12" s="16" t="str">
        <x:v>Le tre variabili hanno scale diverse: gli euro sono nell'ordine delle migliaia, la frequenza nell'ordine delle unità, la quota premium è una percentuale. Senza standardizzazione la spesa dominerebbe artificialmente la distanza. Per questo trasformiamo ogni variabile in z-score: z = (x − media) / deviazione standard.</x:v>
      </x:c>
      <x:c r="E12" s="16"/>
      <x:c r="F12" s="16"/>
      <x:c r="G12" s="16"/>
      <x:c r="H12" s="16"/>
    </x:row>
    <x:row r="13">
      <x:c r="A13" s="25" t="str">
        <x:v>Acquisti al mese</x:v>
      </x:c>
      <x:c r="B13" s="26" t="str">
        <x:v>Asse Y</x:v>
      </x:c>
      <x:c r="D13" s="16"/>
      <x:c r="E13" s="16"/>
      <x:c r="F13" s="16"/>
      <x:c r="G13" s="16"/>
      <x:c r="H13" s="16"/>
    </x:row>
    <x:row r="14">
      <x:c r="A14" s="25" t="str">
        <x:v>Quota acquisti premium</x:v>
      </x:c>
      <x:c r="B14" s="26" t="str">
        <x:v>Asse Z</x:v>
      </x:c>
      <x:c r="D14" s="16"/>
      <x:c r="E14" s="16"/>
      <x:c r="F14" s="16"/>
      <x:c r="G14" s="16"/>
      <x:c r="H14" s="16"/>
    </x:row>
    <x:row r="15">
      <x:c r="A15" s="27" t="str">
        <x:v>Cliente</x:v>
      </x:c>
      <x:c r="B15" s="28" t="str">
        <x:v>Punto (X,Y,Z)</x:v>
      </x:c>
      <x:c r="D15" s="16"/>
      <x:c r="E15" s="16"/>
      <x:c r="F15" s="16"/>
      <x:c r="G15" s="16"/>
      <x:c r="H15" s="16"/>
    </x:row>
    <x:row r="16">
      <x:c r="D16" s="16"/>
      <x:c r="E16" s="16"/>
      <x:c r="F16" s="16"/>
      <x:c r="G16" s="16"/>
      <x:c r="H16" s="16"/>
    </x:row>
    <x:row r="17">
      <x:c r="D17" s="16"/>
      <x:c r="E17" s="16"/>
      <x:c r="F17" s="16"/>
      <x:c r="G17" s="16"/>
      <x:c r="H17" s="16"/>
    </x:row>
    <x:row r="19">
      <x:c r="A19" s="40" t="str">
        <x:v>3. Il principio di K-means</x:v>
      </x:c>
      <x:c r="B19" s="40"/>
      <x:c r="C19" s="40"/>
      <x:c r="D19" s="40"/>
      <x:c r="E19" s="40"/>
      <x:c r="F19" s="40"/>
      <x:c r="G19" s="40"/>
      <x:c r="H19" s="40"/>
    </x:row>
    <x:row r="20">
      <x:c r="A20" s="16" t="str">
        <x:v>K-means cerca alcuni punti rappresentativi, detti centroidi. Per ogni cliente calcoliamo la distanza euclidea dai centroidi e lo assegniamo a quello più vicino. Il processo viene ripetuto aggiornando i centroidi. Nel foglio “Clienti” puoi vedere le tre distanze; nel foglio “Centroidi” trovi i centri finali; nel foglio “Geometria” vedi tre proiezioni 2D dello spazio 3D.</x:v>
      </x:c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2">
      <x:c r="A22" s="16"/>
      <x:c r="B22" s="16"/>
      <x:c r="C22" s="16"/>
      <x:c r="D22" s="16"/>
      <x:c r="E22" s="16"/>
      <x:c r="F22" s="16"/>
      <x:c r="G22" s="16"/>
      <x:c r="H22" s="16"/>
    </x:row>
    <x:row r="23">
      <x:c r="A23" s="16"/>
      <x:c r="B23" s="16"/>
      <x:c r="C23" s="16"/>
      <x:c r="D23" s="16"/>
      <x:c r="E23" s="16"/>
      <x:c r="F23" s="16"/>
      <x:c r="G23" s="16"/>
      <x:c r="H23" s="16"/>
    </x:row>
    <x:row r="24">
      <x:c r="A24" s="16"/>
      <x:c r="B24" s="16"/>
      <x:c r="C24" s="16"/>
      <x:c r="D24" s="16"/>
      <x:c r="E24" s="16"/>
      <x:c r="F24" s="16"/>
      <x:c r="G24" s="16"/>
      <x:c r="H24" s="16"/>
    </x:row>
    <x:row r="25">
      <x:c r="A25" s="16"/>
      <x:c r="B25" s="16"/>
      <x:c r="C25" s="16"/>
      <x:c r="D25" s="16"/>
      <x:c r="E25" s="16"/>
      <x:c r="F25" s="16"/>
      <x:c r="G25" s="16"/>
      <x:c r="H25" s="16"/>
    </x:row>
    <x:row r="27">
      <x:c r="A27" s="47" t="str">
        <x:v>Distanza geometrica:
d(x,c) = √[(z₁−c₁)² + (z₂−c₂)² + (z₃−c₃)²]
Più d è piccola, più il cliente è vicino al profilo rappresentato dal centroide.</x:v>
      </x:c>
      <x:c r="B27" s="47"/>
      <x:c r="C27" s="47"/>
      <x:c r="D27" s="47"/>
      <x:c r="E27" s="47"/>
      <x:c r="F27" s="47"/>
      <x:c r="G27" s="47"/>
      <x:c r="H27" s="47"/>
    </x:row>
    <x:row r="28">
      <x:c r="A28" s="47"/>
      <x:c r="B28" s="47"/>
      <x:c r="C28" s="47"/>
      <x:c r="D28" s="47"/>
      <x:c r="E28" s="47"/>
      <x:c r="F28" s="47"/>
      <x:c r="G28" s="47"/>
      <x:c r="H28" s="47"/>
    </x:row>
    <x:row r="29">
      <x:c r="A29" s="47"/>
      <x:c r="B29" s="47"/>
      <x:c r="C29" s="47"/>
      <x:c r="D29" s="47"/>
      <x:c r="E29" s="47"/>
      <x:c r="F29" s="47"/>
      <x:c r="G29" s="47"/>
      <x:c r="H29" s="47"/>
    </x:row>
    <x:row r="30">
      <x:c r="A30" s="47"/>
      <x:c r="B30" s="47"/>
      <x:c r="C30" s="47"/>
      <x:c r="D30" s="47"/>
      <x:c r="E30" s="47"/>
      <x:c r="F30" s="47"/>
      <x:c r="G30" s="47"/>
      <x:c r="H30" s="47"/>
    </x:row>
    <x:row r="31">
      <x:c r="A31" s="47"/>
      <x:c r="B31" s="47"/>
      <x:c r="C31" s="47"/>
      <x:c r="D31" s="47"/>
      <x:c r="E31" s="47"/>
      <x:c r="F31" s="47"/>
      <x:c r="G31" s="47"/>
      <x:c r="H31" s="47"/>
    </x:row>
  </x:sheetData>
  <x:mergeCells>
    <x:mergeCell ref="A1:H2"/>
    <x:mergeCell ref="A4:H4"/>
    <x:mergeCell ref="A5:H9"/>
    <x:mergeCell ref="D11:H11"/>
    <x:mergeCell ref="D12:H17"/>
    <x:mergeCell ref="A19:H19"/>
    <x:mergeCell ref="A20:H25"/>
    <x:mergeCell ref="A27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5" hidden="0" customWidth="1"/>
    <x:col min="4" max="4" width="15" hidden="0" customWidth="1"/>
    <x:col min="5" max="5" width="12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6" hidden="0" customWidth="1"/>
  </x:cols>
  <x:sheetData>
    <x:row r="1">
      <x:c r="A1" s="72" t="str">
        <x:v>Cliente</x:v>
      </x:c>
      <x:c r="B1" s="72" t="str">
        <x:v>Spesa annua (€)</x:v>
      </x:c>
      <x:c r="C1" s="72" t="str">
        <x:v>Acquisti/mese</x:v>
      </x:c>
      <x:c r="D1" s="72" t="str">
        <x:v>Quota premium</x:v>
      </x:c>
      <x:c r="E1" s="72" t="str">
        <x:v>Z spesa</x:v>
      </x:c>
      <x:c r="F1" s="72" t="str">
        <x:v>Z frequenza</x:v>
      </x:c>
      <x:c r="G1" s="72" t="str">
        <x:v>Z premium</x:v>
      </x:c>
      <x:c r="H1" s="72" t="str">
        <x:v>Distanza C1</x:v>
      </x:c>
      <x:c r="I1" s="72" t="str">
        <x:v>Distanza C2</x:v>
      </x:c>
      <x:c r="J1" s="72" t="str">
        <x:v>Distanza C3</x:v>
      </x:c>
      <x:c r="K1" s="72" t="str">
        <x:v>Cluster</x:v>
      </x:c>
      <x:c r="L1" s="72" t="str">
        <x:v>Segmento</x:v>
      </x:c>
    </x:row>
    <x:row r="2">
      <x:c r="A2" s="14" t="str">
        <x:v>C044</x:v>
      </x:c>
      <x:c r="B2" s="67" t="n">
        <x:v>2550</x:v>
      </x:c>
      <x:c r="C2" s="77" t="n">
        <x:v>6.4</x:v>
      </x:c>
      <x:c r="D2" s="63" t="n">
        <x:v>0.349</x:v>
      </x:c>
      <x:c r="E2" s="61" t="n">
        <x:f>(B2-Centroidi!$B$5)/Centroidi!$B$6</x:f>
        <x:v>-0.5896652281748553</x:v>
      </x:c>
      <x:c r="F2" s="61" t="n">
        <x:f>(C2-Centroidi!$C$5)/Centroidi!$C$6</x:f>
        <x:v>0.9345062650875916</x:v>
      </x:c>
      <x:c r="G2" s="61" t="n">
        <x:f>(D2-Centroidi!$D$5)/Centroidi!$D$6</x:f>
        <x:v>-0.3008764319185133</x:v>
      </x:c>
      <x:c r="H2" s="61" t="n">
        <x:f>SQRT((E2-Centroidi!$C$10)^2+(F2-Centroidi!$D$10)^2+(G2-Centroidi!$E$10)^2)</x:f>
        <x:v>2.2093685655170248</x:v>
      </x:c>
      <x:c r="I2" s="61" t="n">
        <x:f>SQRT((E2-Centroidi!$C$11)^2+(F2-Centroidi!$D$11)^2+(G2-Centroidi!$E$11)^2)</x:f>
        <x:v>0.4138574516899015</x:v>
      </x:c>
      <x:c r="J2" s="61" t="n">
        <x:f>SQRT((E2-Centroidi!$C$12)^2+(F2-Centroidi!$D$12)^2+(G2-Centroidi!$E$12)^2)</x:f>
        <x:v>2.571386896893634</x:v>
      </x:c>
      <x:c r="K2" s="14" t="n">
        <x:f>IF(H2=MIN(H2:J2),1,IF(I2=MIN(H2:J2),2,3))</x:f>
        <x:v>2</x:v>
      </x:c>
      <x:c r="L2" s="14" t="str">
        <x:f>IF(K2=1,"Occasionali",IF(K2=2,"Abituali","Premium"))</x:f>
        <x:v>Abituali</x:v>
      </x:c>
    </x:row>
    <x:row r="3">
      <x:c r="A3" s="14" t="str">
        <x:v>C023</x:v>
      </x:c>
      <x:c r="B3" s="67" t="n">
        <x:v>1460</x:v>
      </x:c>
      <x:c r="C3" s="77" t="n">
        <x:v>2.2</x:v>
      </x:c>
      <x:c r="D3" s="63" t="n">
        <x:v>0.138</x:v>
      </x:c>
      <x:c r="E3" s="61" t="n">
        <x:f>(B3-Centroidi!$B$5)/Centroidi!$B$6</x:f>
        <x:v>-1.082812362735412</x:v>
      </x:c>
      <x:c r="F3" s="61" t="n">
        <x:f>(C3-Centroidi!$C$5)/Centroidi!$C$6</x:f>
        <x:v>-0.9919955248508332</x:v>
      </x:c>
      <x:c r="G3" s="61" t="n">
        <x:f>(D3-Centroidi!$D$5)/Centroidi!$D$6</x:f>
        <x:v>-1.0683441197183958</x:v>
      </x:c>
      <x:c r="H3" s="61" t="n">
        <x:f>SQRT((E3-Centroidi!$C$10)^2+(F3-Centroidi!$D$10)^2+(G3-Centroidi!$E$10)^2)</x:f>
        <x:v>0.16906898966203862</x:v>
      </x:c>
      <x:c r="I3" s="61" t="n">
        <x:f>SQRT((E3-Centroidi!$C$11)^2+(F3-Centroidi!$D$11)^2+(G3-Centroidi!$E$11)^2)</x:f>
        <x:v>2.3216394331664296</x:v>
      </x:c>
      <x:c r="J3" s="61" t="n">
        <x:f>SQRT((E3-Centroidi!$C$12)^2+(F3-Centroidi!$D$12)^2+(G3-Centroidi!$E$12)^2)</x:f>
        <x:v>3.4935817886548706</x:v>
      </x:c>
      <x:c r="K3" s="14" t="n">
        <x:f>IF(H3=MIN(H3:J3),1,IF(I3=MIN(H3:J3),2,3))</x:f>
        <x:v>1</x:v>
      </x:c>
      <x:c r="L3" s="14" t="str">
        <x:f>IF(K3=1,"Occasionali",IF(K3=2,"Abituali","Premium"))</x:f>
        <x:v>Occasionali</x:v>
      </x:c>
    </x:row>
    <x:row r="4">
      <x:c r="A4" s="14" t="str">
        <x:v>C075</x:v>
      </x:c>
      <x:c r="B4" s="67" t="n">
        <x:v>4980</x:v>
      </x:c>
      <x:c r="C4" s="77" t="n">
        <x:v>4</x:v>
      </x:c>
      <x:c r="D4" s="63" t="n">
        <x:v>0.872</x:v>
      </x:c>
      <x:c r="E4" s="61" t="n">
        <x:f>(B4-Centroidi!$B$5)/Centroidi!$B$6</x:f>
        <x:v>0.5097361819005142</x:v>
      </x:c>
      <x:c r="F4" s="61" t="n">
        <x:f>(C4-Centroidi!$C$5)/Centroidi!$C$6</x:f>
        <x:v>-0.16635190059150842</x:v>
      </x:c>
      <x:c r="G4" s="61" t="n">
        <x:f>(D4-Centroidi!$D$5)/Centroidi!$D$6</x:f>
        <x:v>1.6014249932916227</x:v>
      </x:c>
      <x:c r="H4" s="61" t="n">
        <x:f>SQRT((E4-Centroidi!$C$10)^2+(F4-Centroidi!$D$10)^2+(G4-Centroidi!$E$10)^2)</x:f>
        <x:v>3.153576295949256</x:v>
      </x:c>
      <x:c r="I4" s="61" t="n">
        <x:f>SQRT((E4-Centroidi!$C$11)^2+(F4-Centroidi!$D$11)^2+(G4-Centroidi!$E$11)^2)</x:f>
        <x:v>2.3724213157714322</x:v>
      </x:c>
      <x:c r="J4" s="61" t="n">
        <x:f>SQRT((E4-Centroidi!$C$12)^2+(F4-Centroidi!$D$12)^2+(G4-Centroidi!$E$12)^2)</x:f>
        <x:v>0.8442680150776449</x:v>
      </x:c>
      <x:c r="K4" s="14" t="n">
        <x:f>IF(H4=MIN(H4:J4),1,IF(I4=MIN(H4:J4),2,3))</x:f>
        <x:v>3</x:v>
      </x:c>
      <x:c r="L4" s="14" t="str">
        <x:f>IF(K4=1,"Occasionali",IF(K4=2,"Abituali","Premium"))</x:f>
        <x:v>Premium</x:v>
      </x:c>
    </x:row>
    <x:row r="5">
      <x:c r="A5" s="14" t="str">
        <x:v>C050</x:v>
      </x:c>
      <x:c r="B5" s="67" t="n">
        <x:v>3140</x:v>
      </x:c>
      <x:c r="C5" s="77" t="n">
        <x:v>6.8</x:v>
      </x:c>
      <x:c r="D5" s="63" t="n">
        <x:v>0.394</x:v>
      </x:c>
      <x:c r="E5" s="61" t="n">
        <x:f>(B5-Centroidi!$B$5)/Centroidi!$B$6</x:f>
        <x:v>-0.32273237552281087</x:v>
      </x:c>
      <x:c r="F5" s="61" t="n">
        <x:f>(C5-Centroidi!$C$5)/Centroidi!$C$6</x:f>
        <x:v>1.117982626034108</x:v>
      </x:c>
      <x:c r="G5" s="61" t="n">
        <x:f>(D5-Centroidi!$D$5)/Centroidi!$D$6</x:f>
        <x:v>-0.1371984890228036</x:v>
      </x:c>
      <x:c r="H5" s="61" t="n">
        <x:f>SQRT((E5-Centroidi!$C$10)^2+(F5-Centroidi!$D$10)^2+(G5-Centroidi!$E$10)^2)</x:f>
        <x:v>2.497094051669668</x:v>
      </x:c>
      <x:c r="I5" s="61" t="n">
        <x:f>SQRT((E5-Centroidi!$C$11)^2+(F5-Centroidi!$D$11)^2+(G5-Centroidi!$E$11)^2)</x:f>
        <x:v>0.2582758907043098</x:v>
      </x:c>
      <x:c r="J5" s="61" t="n">
        <x:f>SQRT((E5-Centroidi!$C$12)^2+(F5-Centroidi!$D$12)^2+(G5-Centroidi!$E$12)^2)</x:f>
        <x:v>2.3550851726424407</x:v>
      </x:c>
      <x:c r="K5" s="14" t="n">
        <x:f>IF(H5=MIN(H5:J5),1,IF(I5=MIN(H5:J5),2,3))</x:f>
        <x:v>2</x:v>
      </x:c>
      <x:c r="L5" s="14" t="str">
        <x:f>IF(K5=1,"Occasionali",IF(K5=2,"Abituali","Premium"))</x:f>
        <x:v>Abituali</x:v>
      </x:c>
    </x:row>
    <x:row r="6">
      <x:c r="A6" s="14" t="str">
        <x:v>C070</x:v>
      </x:c>
      <x:c r="B6" s="67" t="n">
        <x:v>6690</x:v>
      </x:c>
      <x:c r="C6" s="77" t="n">
        <x:v>2.3</x:v>
      </x:c>
      <x:c r="D6" s="63" t="n">
        <x:v>0.94</x:v>
      </x:c>
      <x:c r="E6" s="61" t="n">
        <x:f>(B6-Centroidi!$B$5)/Centroidi!$B$6</x:f>
        <x:v>1.283389026027626</x:v>
      </x:c>
      <x:c r="F6" s="61" t="n">
        <x:f>(C6-Centroidi!$C$5)/Centroidi!$C$6</x:f>
        <x:v>-0.9461264346142042</x:v>
      </x:c>
      <x:c r="G6" s="61" t="n">
        <x:f>(D6-Centroidi!$D$5)/Centroidi!$D$6</x:f>
        <x:v>1.848760551445139</x:v>
      </x:c>
      <x:c r="H6" s="61" t="n">
        <x:f>SQRT((E6-Centroidi!$C$10)^2+(F6-Centroidi!$D$10)^2+(G6-Centroidi!$E$10)^2)</x:f>
        <x:v>3.664032805726164</x:v>
      </x:c>
      <x:c r="I6" s="61" t="n">
        <x:f>SQRT((E6-Centroidi!$C$11)^2+(F6-Centroidi!$D$11)^2+(G6-Centroidi!$E$11)^2)</x:f>
        <x:v>3.282887830265817</x:v>
      </x:c>
      <x:c r="J6" s="61" t="n">
        <x:f>SQRT((E6-Centroidi!$C$12)^2+(F6-Centroidi!$D$12)^2+(G6-Centroidi!$E$12)^2)</x:f>
        <x:v>1.1865928987082621</x:v>
      </x:c>
      <x:c r="K6" s="14" t="n">
        <x:f>IF(H6=MIN(H6:J6),1,IF(I6=MIN(H6:J6),2,3))</x:f>
        <x:v>3</x:v>
      </x:c>
      <x:c r="L6" s="14" t="str">
        <x:f>IF(K6=1,"Occasionali",IF(K6=2,"Abituali","Premium"))</x:f>
        <x:v>Premium</x:v>
      </x:c>
    </x:row>
    <x:row r="7">
      <x:c r="A7" s="14" t="str">
        <x:v>C042</x:v>
      </x:c>
      <x:c r="B7" s="67" t="n">
        <x:v>2610</x:v>
      </x:c>
      <x:c r="C7" s="77" t="n">
        <x:v>7.6</x:v>
      </x:c>
      <x:c r="D7" s="63" t="n">
        <x:v>0.32</x:v>
      </x:c>
      <x:c r="E7" s="61" t="n">
        <x:f>(B7-Centroidi!$B$5)/Centroidi!$B$6</x:f>
        <x:v>-0.5625195143458338</x:v>
      </x:c>
      <x:c r="F7" s="61" t="n">
        <x:f>(C7-Centroidi!$C$5)/Centroidi!$C$6</x:f>
        <x:v>1.4849353479271412</x:v>
      </x:c>
      <x:c r="G7" s="61" t="n">
        <x:f>(D7-Centroidi!$D$5)/Centroidi!$D$6</x:f>
        <x:v>-0.40635777289574826</x:v>
      </x:c>
      <x:c r="H7" s="61" t="n">
        <x:f>SQRT((E7-Centroidi!$C$10)^2+(F7-Centroidi!$D$10)^2+(G7-Centroidi!$E$10)^2)</x:f>
        <x:v>2.710150956558043</x:v>
      </x:c>
      <x:c r="I7" s="61" t="n">
        <x:f>SQRT((E7-Centroidi!$C$11)^2+(F7-Centroidi!$D$11)^2+(G7-Centroidi!$E$11)^2)</x:f>
        <x:v>0.6038307878760998</x:v>
      </x:c>
      <x:c r="J7" s="61" t="n">
        <x:f>SQRT((E7-Centroidi!$C$12)^2+(F7-Centroidi!$D$12)^2+(G7-Centroidi!$E$12)^2)</x:f>
        <x:v>2.842578175450553</x:v>
      </x:c>
      <x:c r="K7" s="14" t="n">
        <x:f>IF(H7=MIN(H7:J7),1,IF(I7=MIN(H7:J7),2,3))</x:f>
        <x:v>2</x:v>
      </x:c>
      <x:c r="L7" s="14" t="str">
        <x:f>IF(K7=1,"Occasionali",IF(K7=2,"Abituali","Premium"))</x:f>
        <x:v>Abituali</x:v>
      </x:c>
    </x:row>
    <x:row r="8">
      <x:c r="A8" s="14" t="str">
        <x:v>C019</x:v>
      </x:c>
      <x:c r="B8" s="67" t="n">
        <x:v>1110</x:v>
      </x:c>
      <x:c r="C8" s="77" t="n">
        <x:v>1.1</x:v>
      </x:c>
      <x:c r="D8" s="63" t="n">
        <x:v>0.214</x:v>
      </x:c>
      <x:c r="E8" s="61" t="n">
        <x:f>(B8-Centroidi!$B$5)/Centroidi!$B$6</x:f>
        <x:v>-1.2411623600713706</x:v>
      </x:c>
      <x:c r="F8" s="61" t="n">
        <x:f>(C8-Centroidi!$C$5)/Centroidi!$C$6</x:f>
        <x:v>-1.496555517453754</x:v>
      </x:c>
      <x:c r="G8" s="61" t="n">
        <x:f>(D8-Centroidi!$D$5)/Centroidi!$D$6</x:f>
        <x:v>-0.791910260605642</x:v>
      </x:c>
      <x:c r="H8" s="61" t="n">
        <x:f>SQRT((E8-Centroidi!$C$10)^2+(F8-Centroidi!$D$10)^2+(G8-Centroidi!$E$10)^2)</x:f>
        <x:v>0.44905173026094725</x:v>
      </x:c>
      <x:c r="I8" s="61" t="n">
        <x:f>SQRT((E8-Centroidi!$C$11)^2+(F8-Centroidi!$D$11)^2+(G8-Centroidi!$E$11)^2)</x:f>
        <x:v>2.7663282067364303</x:v>
      </x:c>
      <x:c r="J8" s="61" t="n">
        <x:f>SQRT((E8-Centroidi!$C$12)^2+(F8-Centroidi!$D$12)^2+(G8-Centroidi!$E$12)^2)</x:f>
        <x:v>3.6190676505445447</x:v>
      </x:c>
      <x:c r="K8" s="14" t="n">
        <x:f>IF(H8=MIN(H8:J8),1,IF(I8=MIN(H8:J8),2,3))</x:f>
        <x:v>1</x:v>
      </x:c>
      <x:c r="L8" s="14" t="str">
        <x:f>IF(K8=1,"Occasionali",IF(K8=2,"Abituali","Premium"))</x:f>
        <x:v>Occasionali</x:v>
      </x:c>
    </x:row>
    <x:row r="9">
      <x:c r="A9" s="14" t="str">
        <x:v>C013</x:v>
      </x:c>
      <x:c r="B9" s="67" t="n">
        <x:v>1730</x:v>
      </x:c>
      <x:c r="C9" s="77" t="n">
        <x:v>1</x:v>
      </x:c>
      <x:c r="D9" s="63" t="n">
        <x:v>0.219</x:v>
      </x:c>
      <x:c r="E9" s="61" t="n">
        <x:f>(B9-Centroidi!$B$5)/Centroidi!$B$6</x:f>
        <x:v>-0.9606566505048153</x:v>
      </x:c>
      <x:c r="F9" s="61" t="n">
        <x:f>(C9-Centroidi!$C$5)/Centroidi!$C$6</x:f>
        <x:v>-1.5424246076903831</x:v>
      </x:c>
      <x:c r="G9" s="61" t="n">
        <x:f>(D9-Centroidi!$D$5)/Centroidi!$D$6</x:f>
        <x:v>-0.7737238225061187</x:v>
      </x:c>
      <x:c r="H9" s="61" t="n">
        <x:f>SQRT((E9-Centroidi!$C$10)^2+(F9-Centroidi!$D$10)^2+(G9-Centroidi!$E$10)^2)</x:f>
        <x:v>0.4725335077525933</x:v>
      </x:c>
      <x:c r="I9" s="61" t="n">
        <x:f>SQRT((E9-Centroidi!$C$11)^2+(F9-Centroidi!$D$11)^2+(G9-Centroidi!$E$11)^2)</x:f>
        <x:v>2.71212759491528</x:v>
      </x:c>
      <x:c r="J9" s="61" t="n">
        <x:f>SQRT((E9-Centroidi!$C$12)^2+(F9-Centroidi!$D$12)^2+(G9-Centroidi!$E$12)^2)</x:f>
        <x:v>3.4427958526542444</x:v>
      </x:c>
      <x:c r="K9" s="14" t="n">
        <x:f>IF(H9=MIN(H9:J9),1,IF(I9=MIN(H9:J9),2,3))</x:f>
        <x:v>1</x:v>
      </x:c>
      <x:c r="L9" s="14" t="str">
        <x:f>IF(K9=1,"Occasionali",IF(K9=2,"Abituali","Premium"))</x:f>
        <x:v>Occasionali</x:v>
      </x:c>
    </x:row>
    <x:row r="10">
      <x:c r="A10" s="14" t="str">
        <x:v>C032</x:v>
      </x:c>
      <x:c r="B10" s="67" t="n">
        <x:v>2740</x:v>
      </x:c>
      <x:c r="C10" s="77" t="n">
        <x:v>7.6</x:v>
      </x:c>
      <x:c r="D10" s="63" t="n">
        <x:v>0.354</x:v>
      </x:c>
      <x:c r="E10" s="61" t="n">
        <x:f>(B10-Centroidi!$B$5)/Centroidi!$B$6</x:f>
        <x:v>-0.5037038010496206</x:v>
      </x:c>
      <x:c r="F10" s="61" t="n">
        <x:f>(C10-Centroidi!$C$5)/Centroidi!$C$6</x:f>
        <x:v>1.4849353479271412</x:v>
      </x:c>
      <x:c r="G10" s="61" t="n">
        <x:f>(D10-Centroidi!$D$5)/Centroidi!$D$6</x:f>
        <x:v>-0.28268999381899</x:v>
      </x:c>
      <x:c r="H10" s="61" t="n">
        <x:f>SQRT((E10-Centroidi!$C$10)^2+(F10-Centroidi!$D$10)^2+(G10-Centroidi!$E$10)^2)</x:f>
        <x:v>2.7494557256636516</x:v>
      </x:c>
      <x:c r="I10" s="61" t="n">
        <x:f>SQRT((E10-Centroidi!$C$11)^2+(F10-Centroidi!$D$11)^2+(G10-Centroidi!$E$11)^2)</x:f>
        <x:v>0.5663591361684672</x:v>
      </x:c>
      <x:c r="J10" s="61" t="n">
        <x:f>SQRT((E10-Centroidi!$C$12)^2+(F10-Centroidi!$D$12)^2+(G10-Centroidi!$E$12)^2)</x:f>
        <x:v>2.7323506322056956</x:v>
      </x:c>
      <x:c r="K10" s="14" t="n">
        <x:f>IF(H10=MIN(H10:J10),1,IF(I10=MIN(H10:J10),2,3))</x:f>
        <x:v>2</x:v>
      </x:c>
      <x:c r="L10" s="14" t="str">
        <x:f>IF(K10=1,"Occasionali",IF(K10=2,"Abituali","Premium"))</x:f>
        <x:v>Abituali</x:v>
      </x:c>
    </x:row>
    <x:row r="11">
      <x:c r="A11" s="14" t="str">
        <x:v>C035</x:v>
      </x:c>
      <x:c r="B11" s="67" t="n">
        <x:v>3060</x:v>
      </x:c>
      <x:c r="C11" s="77" t="n">
        <x:v>5.1</x:v>
      </x:c>
      <x:c r="D11" s="63" t="n">
        <x:v>0.306</x:v>
      </x:c>
      <x:c r="E11" s="61" t="n">
        <x:f>(B11-Centroidi!$B$5)/Centroidi!$B$6</x:f>
        <x:v>-0.3589266606281728</x:v>
      </x:c>
      <x:c r="F11" s="61" t="n">
        <x:f>(C11-Centroidi!$C$5)/Centroidi!$C$6</x:f>
        <x:v>0.33820809201141216</x:v>
      </x:c>
      <x:c r="G11" s="61" t="n">
        <x:f>(D11-Centroidi!$D$5)/Centroidi!$D$6</x:f>
        <x:v>-0.4572797995744135</x:v>
      </x:c>
      <x:c r="H11" s="61" t="n">
        <x:f>SQRT((E11-Centroidi!$C$10)^2+(F11-Centroidi!$D$10)^2+(G11-Centroidi!$E$10)^2)</x:f>
        <x:v>1.695855673700021</x:v>
      </x:c>
      <x:c r="I11" s="61" t="n">
        <x:f>SQRT((E11-Centroidi!$C$11)^2+(F11-Centroidi!$D$11)^2+(G11-Centroidi!$E$11)^2)</x:f>
        <x:v>0.7133907943404802</x:v>
      </x:c>
      <x:c r="J11" s="61" t="n">
        <x:f>SQRT((E11-Centroidi!$C$12)^2+(F11-Centroidi!$D$12)^2+(G11-Centroidi!$E$12)^2)</x:f>
        <x:v>2.387910751121171</x:v>
      </x:c>
      <x:c r="K11" s="14" t="n">
        <x:f>IF(H11=MIN(H11:J11),1,IF(I11=MIN(H11:J11),2,3))</x:f>
        <x:v>2</x:v>
      </x:c>
      <x:c r="L11" s="14" t="str">
        <x:f>IF(K11=1,"Occasionali",IF(K11=2,"Abituali","Premium"))</x:f>
        <x:v>Abituali</x:v>
      </x:c>
    </x:row>
    <x:row r="12">
      <x:c r="A12" s="14" t="str">
        <x:v>C025</x:v>
      </x:c>
      <x:c r="B12" s="67" t="n">
        <x:v>1710</x:v>
      </x:c>
      <x:c r="C12" s="77" t="n">
        <x:v>1.5</x:v>
      </x:c>
      <x:c r="D12" s="63" t="n">
        <x:v>0.121</x:v>
      </x:c>
      <x:c r="E12" s="61" t="n">
        <x:f>(B12-Centroidi!$B$5)/Centroidi!$B$6</x:f>
        <x:v>-0.9697052217811558</x:v>
      </x:c>
      <x:c r="F12" s="61" t="n">
        <x:f>(C12-Centroidi!$C$5)/Centroidi!$C$6</x:f>
        <x:v>-1.3130791565072375</x:v>
      </x:c>
      <x:c r="G12" s="61" t="n">
        <x:f>(D12-Centroidi!$D$5)/Centroidi!$D$6</x:f>
        <x:v>-1.1301780092567753</x:v>
      </x:c>
      <x:c r="H12" s="61" t="n">
        <x:f>SQRT((E12-Centroidi!$C$10)^2+(F12-Centroidi!$D$10)^2+(G12-Centroidi!$E$10)^2)</x:f>
        <x:v>0.273211044315251</x:v>
      </x:c>
      <x:c r="I12" s="61" t="n">
        <x:f>SQRT((E12-Centroidi!$C$11)^2+(F12-Centroidi!$D$11)^2+(G12-Centroidi!$E$11)^2)</x:f>
        <x:v>2.5863354615461582</x:v>
      </x:c>
      <x:c r="J12" s="61" t="n">
        <x:f>SQRT((E12-Centroidi!$C$12)^2+(F12-Centroidi!$D$12)^2+(G12-Centroidi!$E$12)^2)</x:f>
        <x:v>3.576543566979837</x:v>
      </x:c>
      <x:c r="K12" s="14" t="n">
        <x:f>IF(H12=MIN(H12:J12),1,IF(I12=MIN(H12:J12),2,3))</x:f>
        <x:v>1</x:v>
      </x:c>
      <x:c r="L12" s="14" t="str">
        <x:f>IF(K12=1,"Occasionali",IF(K12=2,"Abituali","Premium"))</x:f>
        <x:v>Occasionali</x:v>
      </x:c>
    </x:row>
    <x:row r="13">
      <x:c r="A13" s="14" t="str">
        <x:v>C002</x:v>
      </x:c>
      <x:c r="B13" s="67" t="n">
        <x:v>1740</x:v>
      </x:c>
      <x:c r="C13" s="77" t="n">
        <x:v>1.9</x:v>
      </x:c>
      <x:c r="D13" s="63" t="n">
        <x:v>0.055</x:v>
      </x:c>
      <x:c r="E13" s="61" t="n">
        <x:f>(B13-Centroidi!$B$5)/Centroidi!$B$6</x:f>
        <x:v>-0.9561323648666451</x:v>
      </x:c>
      <x:c r="F13" s="61" t="n">
        <x:f>(C13-Centroidi!$C$5)/Centroidi!$C$6</x:f>
        <x:v>-1.1296027955607209</x:v>
      </x:c>
      <x:c r="G13" s="61" t="n">
        <x:f>(D13-Centroidi!$D$5)/Centroidi!$D$6</x:f>
        <x:v>-1.3702389921704825</x:v>
      </x:c>
      <x:c r="H13" s="61" t="n">
        <x:f>SQRT((E13-Centroidi!$C$10)^2+(F13-Centroidi!$D$10)^2+(G13-Centroidi!$E$10)^2)</x:f>
        <x:v>0.4237239658225129</x:v>
      </x:c>
      <x:c r="I13" s="61" t="n">
        <x:f>SQRT((E13-Centroidi!$C$11)^2+(F13-Centroidi!$D$11)^2+(G13-Centroidi!$E$11)^2)</x:f>
        <x:v>2.5073105903380006</x:v>
      </x:c>
      <x:c r="J13" s="61" t="n">
        <x:f>SQRT((E13-Centroidi!$C$12)^2+(F13-Centroidi!$D$12)^2+(G13-Centroidi!$E$12)^2)</x:f>
        <x:v>3.6697558548043454</x:v>
      </x:c>
      <x:c r="K13" s="14" t="n">
        <x:f>IF(H13=MIN(H13:J13),1,IF(I13=MIN(H13:J13),2,3))</x:f>
        <x:v>1</x:v>
      </x:c>
      <x:c r="L13" s="14" t="str">
        <x:f>IF(K13=1,"Occasionali",IF(K13=2,"Abituali","Premium"))</x:f>
        <x:v>Occasionali</x:v>
      </x:c>
    </x:row>
    <x:row r="14">
      <x:c r="A14" s="14" t="str">
        <x:v>C029</x:v>
      </x:c>
      <x:c r="B14" s="67" t="n">
        <x:v>3030</x:v>
      </x:c>
      <x:c r="C14" s="77" t="n">
        <x:v>7</x:v>
      </x:c>
      <x:c r="D14" s="63" t="n">
        <x:v>0.427</x:v>
      </x:c>
      <x:c r="E14" s="61" t="n">
        <x:f>(B14-Centroidi!$B$5)/Centroidi!$B$6</x:f>
        <x:v>-0.37249951754268357</x:v>
      </x:c>
      <x:c r="F14" s="61" t="n">
        <x:f>(C14-Centroidi!$C$5)/Centroidi!$C$6</x:f>
        <x:v>1.2097208065073664</x:v>
      </x:c>
      <x:c r="G14" s="61" t="n">
        <x:f>(D14-Centroidi!$D$5)/Centroidi!$D$6</x:f>
        <x:v>-0.01716799756594999</x:v>
      </x:c>
      <x:c r="H14" s="61" t="n">
        <x:f>SQRT((E14-Centroidi!$C$10)^2+(F14-Centroidi!$D$10)^2+(G14-Centroidi!$E$10)^2)</x:f>
        <x:v>2.6067989580069293</x:v>
      </x:c>
      <x:c r="I14" s="61" t="n">
        <x:f>SQRT((E14-Centroidi!$C$11)^2+(F14-Centroidi!$D$11)^2+(G14-Centroidi!$E$11)^2)</x:f>
        <x:v>0.4131492394168372</x:v>
      </x:c>
      <x:c r="J14" s="61" t="n">
        <x:f>SQRT((E14-Centroidi!$C$12)^2+(F14-Centroidi!$D$12)^2+(G14-Centroidi!$E$12)^2)</x:f>
        <x:v>2.360370542432372</x:v>
      </x:c>
      <x:c r="K14" s="14" t="n">
        <x:f>IF(H14=MIN(H14:J14),1,IF(I14=MIN(H14:J14),2,3))</x:f>
        <x:v>2</x:v>
      </x:c>
      <x:c r="L14" s="14" t="str">
        <x:f>IF(K14=1,"Occasionali",IF(K14=2,"Abituali","Premium"))</x:f>
        <x:v>Abituali</x:v>
      </x:c>
    </x:row>
    <x:row r="15">
      <x:c r="A15" s="14" t="str">
        <x:v>C054</x:v>
      </x:c>
      <x:c r="B15" s="67" t="n">
        <x:v>7160</x:v>
      </x:c>
      <x:c r="C15" s="77" t="n">
        <x:v>5.7</x:v>
      </x:c>
      <x:c r="D15" s="63" t="n">
        <x:v>0.815</x:v>
      </x:c>
      <x:c r="E15" s="61" t="n">
        <x:f>(B15-Centroidi!$B$5)/Centroidi!$B$6</x:f>
        <x:v>1.4960304510216276</x:v>
      </x:c>
      <x:c r="F15" s="61" t="n">
        <x:f>(C15-Centroidi!$C$5)/Centroidi!$C$6</x:f>
        <x:v>0.6134226334311874</x:v>
      </x:c>
      <x:c r="G15" s="61" t="n">
        <x:f>(D15-Centroidi!$D$5)/Centroidi!$D$6</x:f>
        <x:v>1.394099598957057</x:v>
      </x:c>
      <x:c r="H15" s="61" t="n">
        <x:f>SQRT((E15-Centroidi!$C$10)^2+(F15-Centroidi!$D$10)^2+(G15-Centroidi!$E$10)^2)</x:f>
        <x:v>3.8854088516977026</x:v>
      </x:c>
      <x:c r="I15" s="61" t="n">
        <x:f>SQRT((E15-Centroidi!$C$11)^2+(F15-Centroidi!$D$11)^2+(G15-Centroidi!$E$11)^2)</x:f>
        <x:v>2.4441204889585872</x:v>
      </x:c>
      <x:c r="J15" s="61" t="n">
        <x:f>SQRT((E15-Centroidi!$C$12)^2+(F15-Centroidi!$D$12)^2+(G15-Centroidi!$E$12)^2)</x:f>
        <x:v>0.577593712453994</x:v>
      </x:c>
      <x:c r="K15" s="14" t="n">
        <x:f>IF(H15=MIN(H15:J15),1,IF(I15=MIN(H15:J15),2,3))</x:f>
        <x:v>3</x:v>
      </x:c>
      <x:c r="L15" s="14" t="str">
        <x:f>IF(K15=1,"Occasionali",IF(K15=2,"Abituali","Premium"))</x:f>
        <x:v>Premium</x:v>
      </x:c>
    </x:row>
    <x:row r="16">
      <x:c r="A16" s="14" t="str">
        <x:v>C022</x:v>
      </x:c>
      <x:c r="B16" s="67" t="n">
        <x:v>1230</x:v>
      </x:c>
      <x:c r="C16" s="77" t="n">
        <x:v>2.8</x:v>
      </x:c>
      <x:c r="D16" s="63" t="n">
        <x:v>0.059</x:v>
      </x:c>
      <x:c r="E16" s="61" t="n">
        <x:f>(B16-Centroidi!$B$5)/Centroidi!$B$6</x:f>
        <x:v>-1.1868709324133275</x:v>
      </x:c>
      <x:c r="F16" s="61" t="n">
        <x:f>(C16-Centroidi!$C$5)/Centroidi!$C$6</x:f>
        <x:v>-0.7167809834310584</x:v>
      </x:c>
      <x:c r="G16" s="61" t="n">
        <x:f>(D16-Centroidi!$D$5)/Centroidi!$D$6</x:f>
        <x:v>-1.3556898416908638</x:v>
      </x:c>
      <x:c r="H16" s="61" t="n">
        <x:f>SQRT((E16-Centroidi!$C$10)^2+(F16-Centroidi!$D$10)^2+(G16-Centroidi!$E$10)^2)</x:f>
        <x:v>0.5785512068998688</x:v>
      </x:c>
      <x:c r="I16" s="61" t="n">
        <x:f>SQRT((E16-Centroidi!$C$11)^2+(F16-Centroidi!$D$11)^2+(G16-Centroidi!$E$11)^2)</x:f>
        <x:v>2.24986666586841</x:v>
      </x:c>
      <x:c r="J16" s="61" t="n">
        <x:f>SQRT((E16-Centroidi!$C$12)^2+(F16-Centroidi!$D$12)^2+(G16-Centroidi!$E$12)^2)</x:f>
        <x:v>3.6897687069120395</x:v>
      </x:c>
      <x:c r="K16" s="14" t="n">
        <x:f>IF(H16=MIN(H16:J16),1,IF(I16=MIN(H16:J16),2,3))</x:f>
        <x:v>1</x:v>
      </x:c>
      <x:c r="L16" s="14" t="str">
        <x:f>IF(K16=1,"Occasionali",IF(K16=2,"Abituali","Premium"))</x:f>
        <x:v>Occasionali</x:v>
      </x:c>
    </x:row>
    <x:row r="17">
      <x:c r="A17" s="14" t="str">
        <x:v>C004</x:v>
      </x:c>
      <x:c r="B17" s="67" t="n">
        <x:v>1500</x:v>
      </x:c>
      <x:c r="C17" s="77" t="n">
        <x:v>2.2</x:v>
      </x:c>
      <x:c r="D17" s="63" t="n">
        <x:v>0.241</x:v>
      </x:c>
      <x:c r="E17" s="61" t="n">
        <x:f>(B17-Centroidi!$B$5)/Centroidi!$B$6</x:f>
        <x:v>-1.064715220182731</x:v>
      </x:c>
      <x:c r="F17" s="61" t="n">
        <x:f>(C17-Centroidi!$C$5)/Centroidi!$C$6</x:f>
        <x:v>-0.9919955248508332</x:v>
      </x:c>
      <x:c r="G17" s="61" t="n">
        <x:f>(D17-Centroidi!$D$5)/Centroidi!$D$6</x:f>
        <x:v>-0.6937034948682163</x:v>
      </x:c>
      <x:c r="H17" s="61" t="n">
        <x:f>SQRT((E17-Centroidi!$C$10)^2+(F17-Centroidi!$D$10)^2+(G17-Centroidi!$E$10)^2)</x:f>
        <x:v>0.29587652667067854</x:v>
      </x:c>
      <x:c r="I17" s="61" t="n">
        <x:f>SQRT((E17-Centroidi!$C$11)^2+(F17-Centroidi!$D$11)^2+(G17-Centroidi!$E$11)^2)</x:f>
        <x:v>2.224147176521925</x:v>
      </x:c>
      <x:c r="J17" s="61" t="n">
        <x:f>SQRT((E17-Centroidi!$C$12)^2+(F17-Centroidi!$D$12)^2+(G17-Centroidi!$E$12)^2)</x:f>
        <x:v>3.239187848305397</x:v>
      </x:c>
      <x:c r="K17" s="14" t="n">
        <x:f>IF(H17=MIN(H17:J17),1,IF(I17=MIN(H17:J17),2,3))</x:f>
        <x:v>1</x:v>
      </x:c>
      <x:c r="L17" s="14" t="str">
        <x:f>IF(K17=1,"Occasionali",IF(K17=2,"Abituali","Premium"))</x:f>
        <x:v>Occasionali</x:v>
      </x:c>
    </x:row>
    <x:row r="18">
      <x:c r="A18" s="14" t="str">
        <x:v>C056</x:v>
      </x:c>
      <x:c r="B18" s="67" t="n">
        <x:v>6220</x:v>
      </x:c>
      <x:c r="C18" s="77" t="n">
        <x:v>4.5</x:v>
      </x:c>
      <x:c r="D18" s="63" t="n">
        <x:v>0.893</x:v>
      </x:c>
      <x:c r="E18" s="61" t="n">
        <x:f>(B18-Centroidi!$B$5)/Centroidi!$B$6</x:f>
        <x:v>1.0707476010336245</x:v>
      </x:c>
      <x:c r="F18" s="61" t="n">
        <x:f>(C18-Centroidi!$C$5)/Centroidi!$C$6</x:f>
        <x:v>0.06299355059163737</x:v>
      </x:c>
      <x:c r="G18" s="61" t="n">
        <x:f>(D18-Centroidi!$D$5)/Centroidi!$D$6</x:f>
        <x:v>1.6778080333096204</x:v>
      </x:c>
      <x:c r="H18" s="61" t="n">
        <x:f>SQRT((E18-Centroidi!$C$10)^2+(F18-Centroidi!$D$10)^2+(G18-Centroidi!$E$10)^2)</x:f>
        <x:v>3.5932590225289864</x:v>
      </x:c>
      <x:c r="I18" s="61" t="n">
        <x:f>SQRT((E18-Centroidi!$C$11)^2+(F18-Centroidi!$D$11)^2+(G18-Centroidi!$E$11)^2)</x:f>
        <x:v>2.5561006808599216</x:v>
      </x:c>
      <x:c r="J18" s="61" t="n">
        <x:f>SQRT((E18-Centroidi!$C$12)^2+(F18-Centroidi!$D$12)^2+(G18-Centroidi!$E$12)^2)</x:f>
        <x:v>0.42588866115620266</x:v>
      </x:c>
      <x:c r="K18" s="14" t="n">
        <x:f>IF(H18=MIN(H18:J18),1,IF(I18=MIN(H18:J18),2,3))</x:f>
        <x:v>3</x:v>
      </x:c>
      <x:c r="L18" s="14" t="str">
        <x:f>IF(K18=1,"Occasionali",IF(K18=2,"Abituali","Premium"))</x:f>
        <x:v>Premium</x:v>
      </x:c>
    </x:row>
    <x:row r="19">
      <x:c r="A19" s="14" t="str">
        <x:v>C036</x:v>
      </x:c>
      <x:c r="B19" s="67" t="n">
        <x:v>4330</x:v>
      </x:c>
      <x:c r="C19" s="77" t="n">
        <x:v>7.5</x:v>
      </x:c>
      <x:c r="D19" s="63" t="n">
        <x:v>0.382</x:v>
      </x:c>
      <x:c r="E19" s="61" t="n">
        <x:f>(B19-Centroidi!$B$5)/Centroidi!$B$6</x:f>
        <x:v>0.21565761541944825</x:v>
      </x:c>
      <x:c r="F19" s="61" t="n">
        <x:f>(C19-Centroidi!$C$5)/Centroidi!$C$6</x:f>
        <x:v>1.4390662576905122</x:v>
      </x:c>
      <x:c r="G19" s="61" t="n">
        <x:f>(D19-Centroidi!$D$5)/Centroidi!$D$6</x:f>
        <x:v>-0.18084594046165953</x:v>
      </x:c>
      <x:c r="H19" s="61" t="n">
        <x:f>SQRT((E19-Centroidi!$C$10)^2+(F19-Centroidi!$D$10)^2+(G19-Centroidi!$E$10)^2)</x:f>
        <x:v>2.965255133870452</x:v>
      </x:c>
      <x:c r="I19" s="61" t="n">
        <x:f>SQRT((E19-Centroidi!$C$11)^2+(F19-Centroidi!$D$11)^2+(G19-Centroidi!$E$11)^2)</x:f>
        <x:v>0.6005297723652459</x:v>
      </x:c>
      <x:c r="J19" s="61" t="n">
        <x:f>SQRT((E19-Centroidi!$C$12)^2+(F19-Centroidi!$D$12)^2+(G19-Centroidi!$E$12)^2)</x:f>
        <x:v>2.2421013508083085</x:v>
      </x:c>
      <x:c r="K19" s="14" t="n">
        <x:f>IF(H19=MIN(H19:J19),1,IF(I19=MIN(H19:J19),2,3))</x:f>
        <x:v>2</x:v>
      </x:c>
      <x:c r="L19" s="14" t="str">
        <x:f>IF(K19=1,"Occasionali",IF(K19=2,"Abituali","Premium"))</x:f>
        <x:v>Abituali</x:v>
      </x:c>
    </x:row>
    <x:row r="20">
      <x:c r="A20" s="14" t="str">
        <x:v>C071</x:v>
      </x:c>
      <x:c r="B20" s="67" t="n">
        <x:v>6340</x:v>
      </x:c>
      <x:c r="C20" s="77" t="n">
        <x:v>6.1</x:v>
      </x:c>
      <x:c r="D20" s="63" t="n">
        <x:v>0.669</x:v>
      </x:c>
      <x:c r="E20" s="61" t="n">
        <x:f>(B20-Centroidi!$B$5)/Centroidi!$B$6</x:f>
        <x:v>1.1250390286916674</x:v>
      </x:c>
      <x:c r="F20" s="61" t="n">
        <x:f>(C20-Centroidi!$C$5)/Centroidi!$C$6</x:f>
        <x:v>0.7968989943777037</x:v>
      </x:c>
      <x:c r="G20" s="61" t="n">
        <x:f>(D20-Centroidi!$D$5)/Centroidi!$D$6</x:f>
        <x:v>0.8630556064509773</x:v>
      </x:c>
      <x:c r="H20" s="61" t="n">
        <x:f>SQRT((E20-Centroidi!$C$10)^2+(F20-Centroidi!$D$10)^2+(G20-Centroidi!$E$10)^2)</x:f>
        <x:v>3.433202173757097</x:v>
      </x:c>
      <x:c r="I20" s="61" t="n">
        <x:f>SQRT((E20-Centroidi!$C$11)^2+(F20-Centroidi!$D$11)^2+(G20-Centroidi!$E$11)^2)</x:f>
        <x:v>1.787917710328965</x:v>
      </x:c>
      <x:c r="J20" s="61" t="n">
        <x:f>SQRT((E20-Centroidi!$C$12)^2+(F20-Centroidi!$D$12)^2+(G20-Centroidi!$E$12)^2)</x:f>
        <x:v>0.8266604638537366</x:v>
      </x:c>
      <x:c r="K20" s="14" t="n">
        <x:f>IF(H20=MIN(H20:J20),1,IF(I20=MIN(H20:J20),2,3))</x:f>
        <x:v>3</x:v>
      </x:c>
      <x:c r="L20" s="14" t="str">
        <x:f>IF(K20=1,"Occasionali",IF(K20=2,"Abituali","Premium"))</x:f>
        <x:v>Premium</x:v>
      </x:c>
    </x:row>
    <x:row r="21">
      <x:c r="A21" s="14" t="str">
        <x:v>C069</x:v>
      </x:c>
      <x:c r="B21" s="67" t="n">
        <x:v>5840</x:v>
      </x:c>
      <x:c r="C21" s="77" t="n">
        <x:v>4.5</x:v>
      </x:c>
      <x:c r="D21" s="63" t="n">
        <x:v>0.735</x:v>
      </x:c>
      <x:c r="E21" s="61" t="n">
        <x:f>(B21-Centroidi!$B$5)/Centroidi!$B$6</x:f>
        <x:v>0.8988247467831552</x:v>
      </x:c>
      <x:c r="F21" s="61" t="n">
        <x:f>(C21-Centroidi!$C$5)/Centroidi!$C$6</x:f>
        <x:v>0.06299355059163737</x:v>
      </x:c>
      <x:c r="G21" s="61" t="n">
        <x:f>(D21-Centroidi!$D$5)/Centroidi!$D$6</x:f>
        <x:v>1.1031165893646846</x:v>
      </x:c>
      <x:c r="H21" s="61" t="n">
        <x:f>SQRT((E21-Centroidi!$C$10)^2+(F21-Centroidi!$D$10)^2+(G21-Centroidi!$E$10)^2)</x:f>
        <x:v>3.08311872989648</x:v>
      </x:c>
      <x:c r="I21" s="61" t="n">
        <x:f>SQRT((E21-Centroidi!$C$11)^2+(F21-Centroidi!$D$11)^2+(G21-Centroidi!$E$11)^2)</x:f>
        <x:v>2.03737271689533</x:v>
      </x:c>
      <x:c r="J21" s="61" t="n">
        <x:f>SQRT((E21-Centroidi!$C$12)^2+(F21-Centroidi!$D$12)^2+(G21-Centroidi!$E$12)^2)</x:f>
        <x:v>0.3995864054287344</x:v>
      </x:c>
      <x:c r="K21" s="14" t="n">
        <x:f>IF(H21=MIN(H21:J21),1,IF(I21=MIN(H21:J21),2,3))</x:f>
        <x:v>3</x:v>
      </x:c>
      <x:c r="L21" s="14" t="str">
        <x:f>IF(K21=1,"Occasionali",IF(K21=2,"Abituali","Premium"))</x:f>
        <x:v>Premium</x:v>
      </x:c>
    </x:row>
    <x:row r="22">
      <x:c r="A22" s="14" t="str">
        <x:v>C018</x:v>
      </x:c>
      <x:c r="B22" s="67" t="n">
        <x:v>1660</x:v>
      </x:c>
      <x:c r="C22" s="77" t="n">
        <x:v>1.8</x:v>
      </x:c>
      <x:c r="D22" s="63" t="n">
        <x:v>0.324</x:v>
      </x:c>
      <x:c r="E22" s="61" t="n">
        <x:f>(B22-Centroidi!$B$5)/Centroidi!$B$6</x:f>
        <x:v>-0.992326649972007</x:v>
      </x:c>
      <x:c r="F22" s="61" t="n">
        <x:f>(C22-Centroidi!$C$5)/Centroidi!$C$6</x:f>
        <x:v>-1.17547188579735</x:v>
      </x:c>
      <x:c r="G22" s="61" t="n">
        <x:f>(D22-Centroidi!$D$5)/Centroidi!$D$6</x:f>
        <x:v>-0.3918086224161296</x:v>
      </x:c>
      <x:c r="H22" s="61" t="n">
        <x:f>SQRT((E22-Centroidi!$C$10)^2+(F22-Centroidi!$D$10)^2+(G22-Centroidi!$E$10)^2)</x:f>
        <x:v>0.5754166183626793</x:v>
      </x:c>
      <x:c r="I22" s="61" t="n">
        <x:f>SQRT((E22-Centroidi!$C$11)^2+(F22-Centroidi!$D$11)^2+(G22-Centroidi!$E$11)^2)</x:f>
        <x:v>2.3386753001592955</x:v>
      </x:c>
      <x:c r="J22" s="61" t="n">
        <x:f>SQRT((E22-Centroidi!$C$12)^2+(F22-Centroidi!$D$12)^2+(G22-Centroidi!$E$12)^2)</x:f>
        <x:v>3.0804856057168233</x:v>
      </x:c>
      <x:c r="K22" s="14" t="n">
        <x:f>IF(H22=MIN(H22:J22),1,IF(I22=MIN(H22:J22),2,3))</x:f>
        <x:v>1</x:v>
      </x:c>
      <x:c r="L22" s="14" t="str">
        <x:f>IF(K22=1,"Occasionali",IF(K22=2,"Abituali","Premium"))</x:f>
        <x:v>Occasionali</x:v>
      </x:c>
    </x:row>
    <x:row r="23">
      <x:c r="A23" s="14" t="str">
        <x:v>C015</x:v>
      </x:c>
      <x:c r="B23" s="67" t="n">
        <x:v>1500</x:v>
      </x:c>
      <x:c r="C23" s="77" t="n">
        <x:v>2.7</x:v>
      </x:c>
      <x:c r="D23" s="63" t="n">
        <x:v>0.205</x:v>
      </x:c>
      <x:c r="E23" s="61" t="n">
        <x:f>(B23-Centroidi!$B$5)/Centroidi!$B$6</x:f>
        <x:v>-1.064715220182731</x:v>
      </x:c>
      <x:c r="F23" s="61" t="n">
        <x:f>(C23-Centroidi!$C$5)/Centroidi!$C$6</x:f>
        <x:v>-0.7626500736676874</x:v>
      </x:c>
      <x:c r="G23" s="61" t="n">
        <x:f>(D23-Centroidi!$D$5)/Centroidi!$D$6</x:f>
        <x:v>-0.824645849184784</x:v>
      </x:c>
      <x:c r="H23" s="61" t="n">
        <x:f>SQRT((E23-Centroidi!$C$10)^2+(F23-Centroidi!$D$10)^2+(G23-Centroidi!$E$10)^2)</x:f>
        <x:v>0.38261801687331576</x:v>
      </x:c>
      <x:c r="I23" s="61" t="n">
        <x:f>SQRT((E23-Centroidi!$C$11)^2+(F23-Centroidi!$D$11)^2+(G23-Centroidi!$E$11)^2)</x:f>
        <x:v>2.046656104501958</x:v>
      </x:c>
      <x:c r="J23" s="61" t="n">
        <x:f>SQRT((E23-Centroidi!$C$12)^2+(F23-Centroidi!$D$12)^2+(G23-Centroidi!$E$12)^2)</x:f>
        <x:v>3.2527991784804358</x:v>
      </x:c>
      <x:c r="K23" s="14" t="n">
        <x:f>IF(H23=MIN(H23:J23),1,IF(I23=MIN(H23:J23),2,3))</x:f>
        <x:v>1</x:v>
      </x:c>
      <x:c r="L23" s="14" t="str">
        <x:f>IF(K23=1,"Occasionali",IF(K23=2,"Abituali","Premium"))</x:f>
        <x:v>Occasionali</x:v>
      </x:c>
    </x:row>
    <x:row r="24">
      <x:c r="A24" s="14" t="str">
        <x:v>C055</x:v>
      </x:c>
      <x:c r="B24" s="67" t="n">
        <x:v>6770</x:v>
      </x:c>
      <x:c r="C24" s="77" t="n">
        <x:v>6.6</x:v>
      </x:c>
      <x:c r="D24" s="63" t="n">
        <x:v>0.782</x:v>
      </x:c>
      <x:c r="E24" s="61" t="n">
        <x:f>(B24-Centroidi!$B$5)/Centroidi!$B$6</x:f>
        <x:v>1.319583311132988</x:v>
      </x:c>
      <x:c r="F24" s="61" t="n">
        <x:f>(C24-Centroidi!$C$5)/Centroidi!$C$6</x:f>
        <x:v>1.0262444455608495</x:v>
      </x:c>
      <x:c r="G24" s="61" t="n">
        <x:f>(D24-Centroidi!$D$5)/Centroidi!$D$6</x:f>
        <x:v>1.2740691075002035</x:v>
      </x:c>
      <x:c r="H24" s="61" t="n">
        <x:f>SQRT((E24-Centroidi!$C$10)^2+(F24-Centroidi!$D$10)^2+(G24-Centroidi!$E$10)^2)</x:f>
        <x:v>3.9084206802294466</x:v>
      </x:c>
      <x:c r="I24" s="61" t="n">
        <x:f>SQRT((E24-Centroidi!$C$11)^2+(F24-Centroidi!$D$11)^2+(G24-Centroidi!$E$11)^2)</x:f>
        <x:v>2.201576848762776</x:v>
      </x:c>
      <x:c r="J24" s="61" t="n">
        <x:f>SQRT((E24-Centroidi!$C$12)^2+(F24-Centroidi!$D$12)^2+(G24-Centroidi!$E$12)^2)</x:f>
        <x:v>0.9276388232820398</x:v>
      </x:c>
      <x:c r="K24" s="14" t="n">
        <x:f>IF(H24=MIN(H24:J24),1,IF(I24=MIN(H24:J24),2,3))</x:f>
        <x:v>3</x:v>
      </x:c>
      <x:c r="L24" s="14" t="str">
        <x:f>IF(K24=1,"Occasionali",IF(K24=2,"Abituali","Premium"))</x:f>
        <x:v>Premium</x:v>
      </x:c>
    </x:row>
    <x:row r="25">
      <x:c r="A25" s="14" t="str">
        <x:v>C010</x:v>
      </x:c>
      <x:c r="B25" s="67" t="n">
        <x:v>1550</x:v>
      </x:c>
      <x:c r="C25" s="77" t="n">
        <x:v>2.6</x:v>
      </x:c>
      <x:c r="D25" s="63" t="n">
        <x:v>0.082</x:v>
      </x:c>
      <x:c r="E25" s="61" t="n">
        <x:f>(B25-Centroidi!$B$5)/Centroidi!$B$6</x:f>
        <x:v>-1.0420937919918798</x:v>
      </x:c>
      <x:c r="F25" s="61" t="n">
        <x:f>(C25-Centroidi!$C$5)/Centroidi!$C$6</x:f>
        <x:v>-0.8085191639043167</x:v>
      </x:c>
      <x:c r="G25" s="61" t="n">
        <x:f>(D25-Centroidi!$D$5)/Centroidi!$D$6</x:f>
        <x:v>-1.2720322264330568</x:v>
      </x:c>
      <x:c r="H25" s="61" t="n">
        <x:f>SQRT((E25-Centroidi!$C$10)^2+(F25-Centroidi!$D$10)^2+(G25-Centroidi!$E$10)^2)</x:f>
        <x:v>0.44150345425928544</x:v>
      </x:c>
      <x:c r="I25" s="61" t="n">
        <x:f>SQRT((E25-Centroidi!$C$11)^2+(F25-Centroidi!$D$11)^2+(G25-Centroidi!$E$11)^2)</x:f>
        <x:v>2.226127983939738</x:v>
      </x:c>
      <x:c r="J25" s="61" t="n">
        <x:f>SQRT((E25-Centroidi!$C$12)^2+(F25-Centroidi!$D$12)^2+(G25-Centroidi!$E$12)^2)</x:f>
        <x:v>3.5570538372696485</x:v>
      </x:c>
      <x:c r="K25" s="14" t="n">
        <x:f>IF(H25=MIN(H25:J25),1,IF(I25=MIN(H25:J25),2,3))</x:f>
        <x:v>1</x:v>
      </x:c>
      <x:c r="L25" s="14" t="str">
        <x:f>IF(K25=1,"Occasionali",IF(K25=2,"Abituali","Premium"))</x:f>
        <x:v>Occasionali</x:v>
      </x:c>
    </x:row>
    <x:row r="26">
      <x:c r="A26" s="14" t="str">
        <x:v>C028</x:v>
      </x:c>
      <x:c r="B26" s="67" t="n">
        <x:v>3210</x:v>
      </x:c>
      <x:c r="C26" s="77" t="n">
        <x:v>4.3</x:v>
      </x:c>
      <x:c r="D26" s="63" t="n">
        <x:v>0.223</x:v>
      </x:c>
      <x:c r="E26" s="61" t="n">
        <x:f>(B26-Centroidi!$B$5)/Centroidi!$B$6</x:f>
        <x:v>-0.29106237605561913</x:v>
      </x:c>
      <x:c r="F26" s="61" t="n">
        <x:f>(C26-Centroidi!$C$5)/Centroidi!$C$6</x:f>
        <x:v>-0.028744629881621034</x:v>
      </x:c>
      <x:c r="G26" s="61" t="n">
        <x:f>(D26-Centroidi!$D$5)/Centroidi!$D$6</x:f>
        <x:v>-0.7591746720265</x:v>
      </x:c>
      <x:c r="H26" s="61" t="n">
        <x:f>SQRT((E26-Centroidi!$C$10)^2+(F26-Centroidi!$D$10)^2+(G26-Centroidi!$E$10)^2)</x:f>
        <x:v>1.3519119974353822</x:v>
      </x:c>
      <x:c r="I26" s="61" t="n">
        <x:f>SQRT((E26-Centroidi!$C$11)^2+(F26-Centroidi!$D$11)^2+(G26-Centroidi!$E$11)^2)</x:f>
        <x:v>1.1361160051364503</x:v>
      </x:c>
      <x:c r="J26" s="61" t="n">
        <x:f>SQRT((E26-Centroidi!$C$12)^2+(F26-Centroidi!$D$12)^2+(G26-Centroidi!$E$12)^2)</x:f>
        <x:v>2.5685133095563413</x:v>
      </x:c>
      <x:c r="K26" s="14" t="n">
        <x:f>IF(H26=MIN(H26:J26),1,IF(I26=MIN(H26:J26),2,3))</x:f>
        <x:v>2</x:v>
      </x:c>
      <x:c r="L26" s="14" t="str">
        <x:f>IF(K26=1,"Occasionali",IF(K26=2,"Abituali","Premium"))</x:f>
        <x:v>Abituali</x:v>
      </x:c>
    </x:row>
    <x:row r="27">
      <x:c r="A27" s="14" t="str">
        <x:v>C072</x:v>
      </x:c>
      <x:c r="B27" s="67" t="n">
        <x:v>6780</x:v>
      </x:c>
      <x:c r="C27" s="77" t="n">
        <x:v>7.6</x:v>
      </x:c>
      <x:c r="D27" s="63" t="n">
        <x:v>0.682</x:v>
      </x:c>
      <x:c r="E27" s="61" t="n">
        <x:f>(B27-Centroidi!$B$5)/Centroidi!$B$6</x:f>
        <x:v>1.3241075967711582</x:v>
      </x:c>
      <x:c r="F27" s="61" t="n">
        <x:f>(C27-Centroidi!$C$5)/Centroidi!$C$6</x:f>
        <x:v>1.4849353479271412</x:v>
      </x:c>
      <x:c r="G27" s="61" t="n">
        <x:f>(D27-Centroidi!$D$5)/Centroidi!$D$6</x:f>
        <x:v>0.9103403455097379</x:v>
      </x:c>
      <x:c r="H27" s="61" t="n">
        <x:f>SQRT((E27-Centroidi!$C$10)^2+(F27-Centroidi!$D$10)^2+(G27-Centroidi!$E$10)^2)</x:f>
        <x:v>3.997996551915868</x:v>
      </x:c>
      <x:c r="I27" s="61" t="n">
        <x:f>SQRT((E27-Centroidi!$C$11)^2+(F27-Centroidi!$D$11)^2+(G27-Centroidi!$E$11)^2)</x:f>
        <x:v>2.0103078714386404</x:v>
      </x:c>
      <x:c r="J27" s="61" t="n">
        <x:f>SQRT((E27-Centroidi!$C$12)^2+(F27-Centroidi!$D$12)^2+(G27-Centroidi!$E$12)^2)</x:f>
        <x:v>1.43726936612441</x:v>
      </x:c>
      <x:c r="K27" s="14" t="n">
        <x:f>IF(H27=MIN(H27:J27),1,IF(I27=MIN(H27:J27),2,3))</x:f>
        <x:v>3</x:v>
      </x:c>
      <x:c r="L27" s="14" t="str">
        <x:f>IF(K27=1,"Occasionali",IF(K27=2,"Abituali","Premium"))</x:f>
        <x:v>Premium</x:v>
      </x:c>
    </x:row>
    <x:row r="28">
      <x:c r="A28" s="14" t="str">
        <x:v>C062</x:v>
      </x:c>
      <x:c r="B28" s="67" t="n">
        <x:v>6460</x:v>
      </x:c>
      <x:c r="C28" s="77" t="n">
        <x:v>3.7</x:v>
      </x:c>
      <x:c r="D28" s="63" t="n">
        <x:v>0.807</x:v>
      </x:c>
      <x:c r="E28" s="61" t="n">
        <x:f>(B28-Centroidi!$B$5)/Centroidi!$B$6</x:f>
        <x:v>1.1793304563497105</x:v>
      </x:c>
      <x:c r="F28" s="61" t="n">
        <x:f>(C28-Centroidi!$C$5)/Centroidi!$C$6</x:f>
        <x:v>-0.3039591713013958</x:v>
      </x:c>
      <x:c r="G28" s="61" t="n">
        <x:f>(D28-Centroidi!$D$5)/Centroidi!$D$6</x:f>
        <x:v>1.36500129799782</x:v>
      </x:c>
      <x:c r="H28" s="61" t="n">
        <x:f>SQRT((E28-Centroidi!$C$10)^2+(F28-Centroidi!$D$10)^2+(G28-Centroidi!$E$10)^2)</x:f>
        <x:v>3.3316961002590015</x:v>
      </x:c>
      <x:c r="I28" s="61" t="n">
        <x:f>SQRT((E28-Centroidi!$C$11)^2+(F28-Centroidi!$D$11)^2+(G28-Centroidi!$E$11)^2)</x:f>
        <x:v>2.5484729247055204</x:v>
      </x:c>
      <x:c r="J28" s="61" t="n">
        <x:f>SQRT((E28-Centroidi!$C$12)^2+(F28-Centroidi!$D$12)^2+(G28-Centroidi!$E$12)^2)</x:f>
        <x:v>0.41764100050718456</x:v>
      </x:c>
      <x:c r="K28" s="14" t="n">
        <x:f>IF(H28=MIN(H28:J28),1,IF(I28=MIN(H28:J28),2,3))</x:f>
        <x:v>3</x:v>
      </x:c>
      <x:c r="L28" s="14" t="str">
        <x:f>IF(K28=1,"Occasionali",IF(K28=2,"Abituali","Premium"))</x:f>
        <x:v>Premium</x:v>
      </x:c>
    </x:row>
    <x:row r="29">
      <x:c r="A29" s="14" t="str">
        <x:v>C012</x:v>
      </x:c>
      <x:c r="B29" s="67" t="n">
        <x:v>1200</x:v>
      </x:c>
      <x:c r="C29" s="77" t="n">
        <x:v>1.3</x:v>
      </x:c>
      <x:c r="D29" s="63" t="n">
        <x:v>0.221</x:v>
      </x:c>
      <x:c r="E29" s="61" t="n">
        <x:f>(B29-Centroidi!$B$5)/Centroidi!$B$6</x:f>
        <x:v>-1.2004437893278384</x:v>
      </x:c>
      <x:c r="F29" s="61" t="n">
        <x:f>(C29-Centroidi!$C$5)/Centroidi!$C$6</x:f>
        <x:v>-1.4048173369804957</x:v>
      </x:c>
      <x:c r="G29" s="61" t="n">
        <x:f>(D29-Centroidi!$D$5)/Centroidi!$D$6</x:f>
        <x:v>-0.7664492472663094</x:v>
      </x:c>
      <x:c r="H29" s="61" t="n">
        <x:f>SQRT((E29-Centroidi!$C$10)^2+(F29-Centroidi!$D$10)^2+(G29-Centroidi!$E$10)^2)</x:f>
        <x:v>0.370674671170606</x:v>
      </x:c>
      <x:c r="I29" s="61" t="n">
        <x:f>SQRT((E29-Centroidi!$C$11)^2+(F29-Centroidi!$D$11)^2+(G29-Centroidi!$E$11)^2)</x:f>
        <x:v>2.6631595378221333</x:v>
      </x:c>
      <x:c r="J29" s="61" t="n">
        <x:f>SQRT((E29-Centroidi!$C$12)^2+(F29-Centroidi!$D$12)^2+(G29-Centroidi!$E$12)^2)</x:f>
        <x:v>3.536419524444737</x:v>
      </x:c>
      <x:c r="K29" s="14" t="n">
        <x:f>IF(H29=MIN(H29:J29),1,IF(I29=MIN(H29:J29),2,3))</x:f>
        <x:v>1</x:v>
      </x:c>
      <x:c r="L29" s="14" t="str">
        <x:f>IF(K29=1,"Occasionali",IF(K29=2,"Abituali","Premium"))</x:f>
        <x:v>Occasionali</x:v>
      </x:c>
    </x:row>
    <x:row r="30">
      <x:c r="A30" s="14" t="str">
        <x:v>C033</x:v>
      </x:c>
      <x:c r="B30" s="67" t="n">
        <x:v>4200</x:v>
      </x:c>
      <x:c r="C30" s="77" t="n">
        <x:v>6.5</x:v>
      </x:c>
      <x:c r="D30" s="63" t="n">
        <x:v>0.496</x:v>
      </x:c>
      <x:c r="E30" s="61" t="n">
        <x:f>(B30-Centroidi!$B$5)/Centroidi!$B$6</x:f>
        <x:v>0.15684190212323507</x:v>
      </x:c>
      <x:c r="F30" s="61" t="n">
        <x:f>(C30-Centroidi!$C$5)/Centroidi!$C$6</x:f>
        <x:v>0.9803753553242206</x:v>
      </x:c>
      <x:c r="G30" s="61" t="n">
        <x:f>(D30-Centroidi!$D$5)/Centroidi!$D$6</x:f>
        <x:v>0.23380484820747138</x:v>
      </x:c>
      <x:c r="H30" s="61" t="n">
        <x:f>SQRT((E30-Centroidi!$C$10)^2+(F30-Centroidi!$D$10)^2+(G30-Centroidi!$E$10)^2)</x:f>
        <x:v>2.706745947979338</x:v>
      </x:c>
      <x:c r="I30" s="61" t="n">
        <x:f>SQRT((E30-Centroidi!$C$11)^2+(F30-Centroidi!$D$11)^2+(G30-Centroidi!$E$11)^2)</x:f>
        <x:v>0.6629383534738938</x:v>
      </x:c>
      <x:c r="J30" s="61" t="n">
        <x:f>SQRT((E30-Centroidi!$C$12)^2+(F30-Centroidi!$D$12)^2+(G30-Centroidi!$E$12)^2)</x:f>
        <x:v>1.756489655634709</x:v>
      </x:c>
      <x:c r="K30" s="14" t="n">
        <x:f>IF(H30=MIN(H30:J30),1,IF(I30=MIN(H30:J30),2,3))</x:f>
        <x:v>2</x:v>
      </x:c>
      <x:c r="L30" s="14" t="str">
        <x:f>IF(K30=1,"Occasionali",IF(K30=2,"Abituali","Premium"))</x:f>
        <x:v>Abituali</x:v>
      </x:c>
    </x:row>
    <x:row r="31">
      <x:c r="A31" s="14" t="str">
        <x:v>C041</x:v>
      </x:c>
      <x:c r="B31" s="67" t="n">
        <x:v>3460</x:v>
      </x:c>
      <x:c r="C31" s="77" t="n">
        <x:v>5</x:v>
      </x:c>
      <x:c r="D31" s="63" t="n">
        <x:v>0.34</x:v>
      </x:c>
      <x:c r="E31" s="61" t="n">
        <x:f>(B31-Centroidi!$B$5)/Centroidi!$B$6</x:f>
        <x:v>-0.17795523510136302</x:v>
      </x:c>
      <x:c r="F31" s="61" t="n">
        <x:f>(C31-Centroidi!$C$5)/Centroidi!$C$6</x:f>
        <x:v>0.29233900177478317</x:v>
      </x:c>
      <x:c r="G31" s="61" t="n">
        <x:f>(D31-Centroidi!$D$5)/Centroidi!$D$6</x:f>
        <x:v>-0.33361202049765504</x:v>
      </x:c>
      <x:c r="H31" s="61" t="n">
        <x:f>SQRT((E31-Centroidi!$C$10)^2+(F31-Centroidi!$D$10)^2+(G31-Centroidi!$E$10)^2)</x:f>
        <x:v>1.7808418314225087</x:v>
      </x:c>
      <x:c r="I31" s="61" t="n">
        <x:f>SQRT((E31-Centroidi!$C$11)^2+(F31-Centroidi!$D$11)^2+(G31-Centroidi!$E$11)^2)</x:f>
        <x:v>0.7266089930855575</x:v>
      </x:c>
      <x:c r="J31" s="61" t="n">
        <x:f>SQRT((E31-Centroidi!$C$12)^2+(F31-Centroidi!$D$12)^2+(G31-Centroidi!$E$12)^2)</x:f>
        <x:v>2.1716215540741253</x:v>
      </x:c>
      <x:c r="K31" s="14" t="n">
        <x:f>IF(H31=MIN(H31:J31),1,IF(I31=MIN(H31:J31),2,3))</x:f>
        <x:v>2</x:v>
      </x:c>
      <x:c r="L31" s="14" t="str">
        <x:f>IF(K31=1,"Occasionali",IF(K31=2,"Abituali","Premium"))</x:f>
        <x:v>Abituali</x:v>
      </x:c>
    </x:row>
    <x:row r="32">
      <x:c r="A32" s="14" t="str">
        <x:v>C046</x:v>
      </x:c>
      <x:c r="B32" s="67" t="n">
        <x:v>3780</x:v>
      </x:c>
      <x:c r="C32" s="77" t="n">
        <x:v>8.3</x:v>
      </x:c>
      <x:c r="D32" s="63" t="n">
        <x:v>0.384</x:v>
      </x:c>
      <x:c r="E32" s="61" t="n">
        <x:f>(B32-Centroidi!$B$5)/Centroidi!$B$6</x:f>
        <x:v>-0.0331780946799152</x:v>
      </x:c>
      <x:c r="F32" s="61" t="n">
        <x:f>(C32-Centroidi!$C$5)/Centroidi!$C$6</x:f>
        <x:v>1.8060189795835457</x:v>
      </x:c>
      <x:c r="G32" s="61" t="n">
        <x:f>(D32-Centroidi!$D$5)/Centroidi!$D$6</x:f>
        <x:v>-0.1735713652218502</x:v>
      </x:c>
      <x:c r="H32" s="61" t="n">
        <x:f>SQRT((E32-Centroidi!$C$10)^2+(F32-Centroidi!$D$10)^2+(G32-Centroidi!$E$10)^2)</x:f>
        <x:v>3.2004557869349335</x:v>
      </x:c>
      <x:c r="I32" s="61" t="n">
        <x:f>SQRT((E32-Centroidi!$C$11)^2+(F32-Centroidi!$D$11)^2+(G32-Centroidi!$E$11)^2)</x:f>
        <x:v>0.8173517210300811</x:v>
      </x:c>
      <x:c r="J32" s="61" t="n">
        <x:f>SQRT((E32-Centroidi!$C$12)^2+(F32-Centroidi!$D$12)^2+(G32-Centroidi!$E$12)^2)</x:f>
        <x:v>2.5880171977955206</x:v>
      </x:c>
      <x:c r="K32" s="14" t="n">
        <x:f>IF(H32=MIN(H32:J32),1,IF(I32=MIN(H32:J32),2,3))</x:f>
        <x:v>2</x:v>
      </x:c>
      <x:c r="L32" s="14" t="str">
        <x:f>IF(K32=1,"Occasionali",IF(K32=2,"Abituali","Premium"))</x:f>
        <x:v>Abituali</x:v>
      </x:c>
    </x:row>
    <x:row r="33">
      <x:c r="A33" s="14" t="str">
        <x:v>C047</x:v>
      </x:c>
      <x:c r="B33" s="67" t="n">
        <x:v>3430</x:v>
      </x:c>
      <x:c r="C33" s="77" t="n">
        <x:v>5.9</x:v>
      </x:c>
      <x:c r="D33" s="63" t="n">
        <x:v>0.208</x:v>
      </x:c>
      <x:c r="E33" s="61" t="n">
        <x:f>(B33-Centroidi!$B$5)/Centroidi!$B$6</x:f>
        <x:v>-0.19152809201587376</x:v>
      </x:c>
      <x:c r="F33" s="61" t="n">
        <x:f>(C33-Centroidi!$C$5)/Centroidi!$C$6</x:f>
        <x:v>0.7051608139044457</x:v>
      </x:c>
      <x:c r="G33" s="61" t="n">
        <x:f>(D33-Centroidi!$D$5)/Centroidi!$D$6</x:f>
        <x:v>-0.81373398632507</x:v>
      </x:c>
      <x:c r="H33" s="61" t="n">
        <x:f>SQRT((E33-Centroidi!$C$10)^2+(F33-Centroidi!$D$10)^2+(G33-Centroidi!$E$10)^2)</x:f>
        <x:v>2.028109092728972</x:v>
      </x:c>
      <x:c r="I33" s="61" t="n">
        <x:f>SQRT((E33-Centroidi!$C$11)^2+(F33-Centroidi!$D$11)^2+(G33-Centroidi!$E$11)^2)</x:f>
        <x:v>0.5745479195777655</x:v>
      </x:c>
      <x:c r="J33" s="61" t="n">
        <x:f>SQRT((E33-Centroidi!$C$12)^2+(F33-Centroidi!$D$12)^2+(G33-Centroidi!$E$12)^2)</x:f>
        <x:v>2.622018033109632</x:v>
      </x:c>
      <x:c r="K33" s="14" t="n">
        <x:f>IF(H33=MIN(H33:J33),1,IF(I33=MIN(H33:J33),2,3))</x:f>
        <x:v>2</x:v>
      </x:c>
      <x:c r="L33" s="14" t="str">
        <x:f>IF(K33=1,"Occasionali",IF(K33=2,"Abituali","Premium"))</x:f>
        <x:v>Abituali</x:v>
      </x:c>
    </x:row>
    <x:row r="34">
      <x:c r="A34" s="14" t="str">
        <x:v>C051</x:v>
      </x:c>
      <x:c r="B34" s="67" t="n">
        <x:v>7880</x:v>
      </x:c>
      <x:c r="C34" s="77" t="n">
        <x:v>4.4</x:v>
      </x:c>
      <x:c r="D34" s="63" t="n">
        <x:v>0.659</x:v>
      </x:c>
      <x:c r="E34" s="61" t="n">
        <x:f>(B34-Centroidi!$B$5)/Centroidi!$B$6</x:f>
        <x:v>1.821779016969885</x:v>
      </x:c>
      <x:c r="F34" s="61" t="n">
        <x:f>(C34-Centroidi!$C$5)/Centroidi!$C$6</x:f>
        <x:v>0.01712446035500837</x:v>
      </x:c>
      <x:c r="G34" s="61" t="n">
        <x:f>(D34-Centroidi!$D$5)/Centroidi!$D$6</x:f>
        <x:v>0.8266827302519307</x:v>
      </x:c>
      <x:c r="H34" s="61" t="n">
        <x:f>SQRT((E34-Centroidi!$C$10)^2+(F34-Centroidi!$D$10)^2+(G34-Centroidi!$E$10)^2)</x:f>
        <x:v>3.5787561327216766</x:v>
      </x:c>
      <x:c r="I34" s="61" t="n">
        <x:f>SQRT((E34-Centroidi!$C$11)^2+(F34-Centroidi!$D$11)^2+(G34-Centroidi!$E$11)^2)</x:f>
        <x:v>2.5253256962656088</x:v>
      </x:c>
      <x:c r="J34" s="61" t="n">
        <x:f>SQRT((E34-Centroidi!$C$12)^2+(F34-Centroidi!$D$12)^2+(G34-Centroidi!$E$12)^2)</x:f>
        <x:v>0.7436267874945391</x:v>
      </x:c>
      <x:c r="K34" s="14" t="n">
        <x:f>IF(H34=MIN(H34:J34),1,IF(I34=MIN(H34:J34),2,3))</x:f>
        <x:v>3</x:v>
      </x:c>
      <x:c r="L34" s="14" t="str">
        <x:f>IF(K34=1,"Occasionali",IF(K34=2,"Abituali","Premium"))</x:f>
        <x:v>Premium</x:v>
      </x:c>
    </x:row>
    <x:row r="35">
      <x:c r="A35" s="14" t="str">
        <x:v>C007</x:v>
      </x:c>
      <x:c r="B35" s="67" t="n">
        <x:v>1470</x:v>
      </x:c>
      <x:c r="C35" s="77" t="n">
        <x:v>1.9</x:v>
      </x:c>
      <x:c r="D35" s="63" t="n">
        <x:v>0.197</x:v>
      </x:c>
      <x:c r="E35" s="61" t="n">
        <x:f>(B35-Centroidi!$B$5)/Centroidi!$B$6</x:f>
        <x:v>-1.0782880770972416</x:v>
      </x:c>
      <x:c r="F35" s="61" t="n">
        <x:f>(C35-Centroidi!$C$5)/Centroidi!$C$6</x:f>
        <x:v>-1.1296027955607209</x:v>
      </x:c>
      <x:c r="G35" s="61" t="n">
        <x:f>(D35-Centroidi!$D$5)/Centroidi!$D$6</x:f>
        <x:v>-0.8537441501440212</x:v>
      </x:c>
      <x:c r="H35" s="61" t="n">
        <x:f>SQRT((E35-Centroidi!$C$10)^2+(F35-Centroidi!$D$10)^2+(G35-Centroidi!$E$10)^2)</x:f>
        <x:v>0.10802123058700655</x:v>
      </x:c>
      <x:c r="I35" s="61" t="n">
        <x:f>SQRT((E35-Centroidi!$C$11)^2+(F35-Centroidi!$D$11)^2+(G35-Centroidi!$E$11)^2)</x:f>
        <x:v>2.3842156836115915</x:v>
      </x:c>
      <x:c r="J35" s="61" t="n">
        <x:f>SQRT((E35-Centroidi!$C$12)^2+(F35-Centroidi!$D$12)^2+(G35-Centroidi!$E$12)^2)</x:f>
        <x:v>3.39656064073398</x:v>
      </x:c>
      <x:c r="K35" s="14" t="n">
        <x:f>IF(H35=MIN(H35:J35),1,IF(I35=MIN(H35:J35),2,3))</x:f>
        <x:v>1</x:v>
      </x:c>
      <x:c r="L35" s="14" t="str">
        <x:f>IF(K35=1,"Occasionali",IF(K35=2,"Abituali","Premium"))</x:f>
        <x:v>Occasionali</x:v>
      </x:c>
    </x:row>
    <x:row r="36">
      <x:c r="A36" s="14" t="str">
        <x:v>C058</x:v>
      </x:c>
      <x:c r="B36" s="67" t="n">
        <x:v>6010</x:v>
      </x:c>
      <x:c r="C36" s="77" t="n">
        <x:v>2.7</x:v>
      </x:c>
      <x:c r="D36" s="63" t="n">
        <x:v>0.787</x:v>
      </x:c>
      <x:c r="E36" s="61" t="n">
        <x:f>(B36-Centroidi!$B$5)/Centroidi!$B$6</x:f>
        <x:v>0.9757376026320493</x:v>
      </x:c>
      <x:c r="F36" s="61" t="n">
        <x:f>(C36-Centroidi!$C$5)/Centroidi!$C$6</x:f>
        <x:v>-0.7626500736676874</x:v>
      </x:c>
      <x:c r="G36" s="61" t="n">
        <x:f>(D36-Centroidi!$D$5)/Centroidi!$D$6</x:f>
        <x:v>1.2922555455997269</x:v>
      </x:c>
      <x:c r="H36" s="61" t="n">
        <x:f>SQRT((E36-Centroidi!$C$10)^2+(F36-Centroidi!$D$10)^2+(G36-Centroidi!$E$10)^2)</x:f>
        <x:v>3.0589356847763143</x:v>
      </x:c>
      <x:c r="I36" s="61" t="n">
        <x:f>SQRT((E36-Centroidi!$C$11)^2+(F36-Centroidi!$D$11)^2+(G36-Centroidi!$E$11)^2)</x:f>
        <x:v>2.6763080988694017</x:v>
      </x:c>
      <x:c r="J36" s="61" t="n">
        <x:f>SQRT((E36-Centroidi!$C$12)^2+(F36-Centroidi!$D$12)^2+(G36-Centroidi!$E$12)^2)</x:f>
        <x:v>0.906186874630781</x:v>
      </x:c>
      <x:c r="K36" s="14" t="n">
        <x:f>IF(H36=MIN(H36:J36),1,IF(I36=MIN(H36:J36),2,3))</x:f>
        <x:v>3</x:v>
      </x:c>
      <x:c r="L36" s="14" t="str">
        <x:f>IF(K36=1,"Occasionali",IF(K36=2,"Abituali","Premium"))</x:f>
        <x:v>Premium</x:v>
      </x:c>
    </x:row>
    <x:row r="37">
      <x:c r="A37" s="14" t="str">
        <x:v>C001</x:v>
      </x:c>
      <x:c r="B37" s="67" t="n">
        <x:v>1390</x:v>
      </x:c>
      <x:c r="C37" s="77" t="n">
        <x:v>1.9</x:v>
      </x:c>
      <x:c r="D37" s="63" t="n">
        <x:v>0.152</x:v>
      </x:c>
      <x:c r="E37" s="61" t="n">
        <x:f>(B37-Centroidi!$B$5)/Centroidi!$B$6</x:f>
        <x:v>-1.1144823622026037</x:v>
      </x:c>
      <x:c r="F37" s="61" t="n">
        <x:f>(C37-Centroidi!$C$5)/Centroidi!$C$6</x:f>
        <x:v>-1.1296027955607209</x:v>
      </x:c>
      <x:c r="G37" s="61" t="n">
        <x:f>(D37-Centroidi!$D$5)/Centroidi!$D$6</x:f>
        <x:v>-1.0174220930397306</x:v>
      </x:c>
      <x:c r="H37" s="61" t="n">
        <x:f>SQRT((E37-Centroidi!$C$10)^2+(F37-Centroidi!$D$10)^2+(G37-Centroidi!$E$10)^2)</x:f>
        <x:v>0.07766835781201534</x:v>
      </x:c>
      <x:c r="I37" s="61" t="n">
        <x:f>SQRT((E37-Centroidi!$C$11)^2+(F37-Centroidi!$D$11)^2+(G37-Centroidi!$E$11)^2)</x:f>
        <x:v>2.4388203605687377</x:v>
      </x:c>
      <x:c r="J37" s="61" t="n">
        <x:f>SQRT((E37-Centroidi!$C$12)^2+(F37-Centroidi!$D$12)^2+(G37-Centroidi!$E$12)^2)</x:f>
        <x:v>3.526443431184302</x:v>
      </x:c>
      <x:c r="K37" s="14" t="n">
        <x:f>IF(H37=MIN(H37:J37),1,IF(I37=MIN(H37:J37),2,3))</x:f>
        <x:v>1</x:v>
      </x:c>
      <x:c r="L37" s="14" t="str">
        <x:f>IF(K37=1,"Occasionali",IF(K37=2,"Abituali","Premium"))</x:f>
        <x:v>Occasionali</x:v>
      </x:c>
    </x:row>
    <x:row r="38">
      <x:c r="A38" s="14" t="str">
        <x:v>C005</x:v>
      </x:c>
      <x:c r="B38" s="67" t="n">
        <x:v>1730</x:v>
      </x:c>
      <x:c r="C38" s="77" t="n">
        <x:v>2.1</x:v>
      </x:c>
      <x:c r="D38" s="63" t="n">
        <x:v>0.108</x:v>
      </x:c>
      <x:c r="E38" s="61" t="n">
        <x:f>(B38-Centroidi!$B$5)/Centroidi!$B$6</x:f>
        <x:v>-0.9606566505048153</x:v>
      </x:c>
      <x:c r="F38" s="61" t="n">
        <x:f>(C38-Centroidi!$C$5)/Centroidi!$C$6</x:f>
        <x:v>-1.0378646150874624</x:v>
      </x:c>
      <x:c r="G38" s="61" t="n">
        <x:f>(D38-Centroidi!$D$5)/Centroidi!$D$6</x:f>
        <x:v>-1.1774627483155358</x:v>
      </x:c>
      <x:c r="H38" s="61" t="n">
        <x:f>SQRT((E38-Centroidi!$C$10)^2+(F38-Centroidi!$D$10)^2+(G38-Centroidi!$E$10)^2)</x:f>
        <x:v>0.25380847345572993</x:v>
      </x:c>
      <x:c r="I38" s="61" t="n">
        <x:f>SQRT((E38-Centroidi!$C$11)^2+(F38-Centroidi!$D$11)^2+(G38-Centroidi!$E$11)^2)</x:f>
        <x:v>2.3547511734023985</x:v>
      </x:c>
      <x:c r="J38" s="61" t="n">
        <x:f>SQRT((E38-Centroidi!$C$12)^2+(F38-Centroidi!$D$12)^2+(G38-Centroidi!$E$12)^2)</x:f>
        <x:v>3.5042935432498514</x:v>
      </x:c>
      <x:c r="K38" s="14" t="n">
        <x:f>IF(H38=MIN(H38:J38),1,IF(I38=MIN(H38:J38),2,3))</x:f>
        <x:v>1</x:v>
      </x:c>
      <x:c r="L38" s="14" t="str">
        <x:f>IF(K38=1,"Occasionali",IF(K38=2,"Abituali","Premium"))</x:f>
        <x:v>Occasionali</x:v>
      </x:c>
    </x:row>
    <x:row r="39">
      <x:c r="A39" s="14" t="str">
        <x:v>C045</x:v>
      </x:c>
      <x:c r="B39" s="67" t="n">
        <x:v>4530</x:v>
      </x:c>
      <x:c r="C39" s="77" t="n">
        <x:v>4.5</x:v>
      </x:c>
      <x:c r="D39" s="63" t="n">
        <x:v>0.409</x:v>
      </x:c>
      <x:c r="E39" s="61" t="n">
        <x:f>(B39-Centroidi!$B$5)/Centroidi!$B$6</x:f>
        <x:v>0.30614332818285317</x:v>
      </x:c>
      <x:c r="F39" s="61" t="n">
        <x:f>(C39-Centroidi!$C$5)/Centroidi!$C$6</x:f>
        <x:v>0.06299355059163737</x:v>
      </x:c>
      <x:c r="G39" s="61" t="n">
        <x:f>(D39-Centroidi!$D$5)/Centroidi!$D$6</x:f>
        <x:v>-0.08263917472423388</x:v>
      </x:c>
      <x:c r="H39" s="61" t="n">
        <x:f>SQRT((E39-Centroidi!$C$10)^2+(F39-Centroidi!$D$10)^2+(G39-Centroidi!$E$10)^2)</x:f>
        <x:v>2.0110888132812383</x:v>
      </x:c>
      <x:c r="I39" s="61" t="n">
        <x:f>SQRT((E39-Centroidi!$C$11)^2+(F39-Centroidi!$D$11)^2+(G39-Centroidi!$E$11)^2)</x:f>
        <x:v>1.1036839238649325</x:v>
      </x:c>
      <x:c r="J39" s="61" t="n">
        <x:f>SQRT((E39-Centroidi!$C$12)^2+(F39-Centroidi!$D$12)^2+(G39-Centroidi!$E$12)^2)</x:f>
        <x:v>1.6676282778768075</x:v>
      </x:c>
      <x:c r="K39" s="14" t="n">
        <x:f>IF(H39=MIN(H39:J39),1,IF(I39=MIN(H39:J39),2,3))</x:f>
        <x:v>2</x:v>
      </x:c>
      <x:c r="L39" s="14" t="str">
        <x:f>IF(K39=1,"Occasionali",IF(K39=2,"Abituali","Premium"))</x:f>
        <x:v>Abituali</x:v>
      </x:c>
    </x:row>
    <x:row r="40">
      <x:c r="A40" s="14" t="str">
        <x:v>C030</x:v>
      </x:c>
      <x:c r="B40" s="67" t="n">
        <x:v>3390</x:v>
      </x:c>
      <x:c r="C40" s="77" t="n">
        <x:v>6.8</x:v>
      </x:c>
      <x:c r="D40" s="63" t="n">
        <x:v>0.335</x:v>
      </x:c>
      <x:c r="E40" s="61" t="n">
        <x:f>(B40-Centroidi!$B$5)/Centroidi!$B$6</x:f>
        <x:v>-0.20962523456855472</x:v>
      </x:c>
      <x:c r="F40" s="61" t="n">
        <x:f>(C40-Centroidi!$C$5)/Centroidi!$C$6</x:f>
        <x:v>1.117982626034108</x:v>
      </x:c>
      <x:c r="G40" s="61" t="n">
        <x:f>(D40-Centroidi!$D$5)/Centroidi!$D$6</x:f>
        <x:v>-0.35179845859717834</x:v>
      </x:c>
      <x:c r="H40" s="61" t="n">
        <x:f>SQRT((E40-Centroidi!$C$10)^2+(F40-Centroidi!$D$10)^2+(G40-Centroidi!$E$10)^2)</x:f>
        <x:v>2.4715320787170207</x:v>
      </x:c>
      <x:c r="I40" s="61" t="n">
        <x:f>SQRT((E40-Centroidi!$C$11)^2+(F40-Centroidi!$D$11)^2+(G40-Centroidi!$E$11)^2)</x:f>
        <x:v>0.10373708472473299</x:v>
      </x:c>
      <x:c r="J40" s="61" t="n">
        <x:f>SQRT((E40-Centroidi!$C$12)^2+(F40-Centroidi!$D$12)^2+(G40-Centroidi!$E$12)^2)</x:f>
        <x:v>2.421477845994995</x:v>
      </x:c>
      <x:c r="K40" s="14" t="n">
        <x:f>IF(H40=MIN(H40:J40),1,IF(I40=MIN(H40:J40),2,3))</x:f>
        <x:v>2</x:v>
      </x:c>
      <x:c r="L40" s="14" t="str">
        <x:f>IF(K40=1,"Occasionali",IF(K40=2,"Abituali","Premium"))</x:f>
        <x:v>Abituali</x:v>
      </x:c>
    </x:row>
    <x:row r="41">
      <x:c r="A41" s="14" t="str">
        <x:v>C020</x:v>
      </x:c>
      <x:c r="B41" s="67" t="n">
        <x:v>2050</x:v>
      </x:c>
      <x:c r="C41" s="77" t="n">
        <x:v>2.4</x:v>
      </x:c>
      <x:c r="D41" s="63" t="n">
        <x:v>0.219</x:v>
      </x:c>
      <x:c r="E41" s="61" t="n">
        <x:f>(B41-Centroidi!$B$5)/Centroidi!$B$6</x:f>
        <x:v>-0.8158795100833676</x:v>
      </x:c>
      <x:c r="F41" s="61" t="n">
        <x:f>(C41-Centroidi!$C$5)/Centroidi!$C$6</x:f>
        <x:v>-0.900257344377575</x:v>
      </x:c>
      <x:c r="G41" s="61" t="n">
        <x:f>(D41-Centroidi!$D$5)/Centroidi!$D$6</x:f>
        <x:v>-0.7737238225061187</x:v>
      </x:c>
      <x:c r="H41" s="61" t="n">
        <x:f>SQRT((E41-Centroidi!$C$10)^2+(F41-Centroidi!$D$10)^2+(G41-Centroidi!$E$10)^2)</x:f>
        <x:v>0.3797338083904891</x:v>
      </x:c>
      <x:c r="I41" s="61" t="n">
        <x:f>SQRT((E41-Centroidi!$C$11)^2+(F41-Centroidi!$D$11)^2+(G41-Centroidi!$E$11)^2)</x:f>
        <x:v>2.0676047624587643</x:v>
      </x:c>
      <x:c r="J41" s="61" t="n">
        <x:f>SQRT((E41-Centroidi!$C$12)^2+(F41-Centroidi!$D$12)^2+(G41-Centroidi!$E$12)^2)</x:f>
        <x:v>3.0879027579671767</x:v>
      </x:c>
      <x:c r="K41" s="14" t="n">
        <x:f>IF(H41=MIN(H41:J41),1,IF(I41=MIN(H41:J41),2,3))</x:f>
        <x:v>1</x:v>
      </x:c>
      <x:c r="L41" s="14" t="str">
        <x:f>IF(K41=1,"Occasionali",IF(K41=2,"Abituali","Premium"))</x:f>
        <x:v>Occasionali</x:v>
      </x:c>
    </x:row>
    <x:row r="42">
      <x:c r="A42" s="14" t="str">
        <x:v>C067</x:v>
      </x:c>
      <x:c r="B42" s="67" t="n">
        <x:v>8310</x:v>
      </x:c>
      <x:c r="C42" s="77" t="n">
        <x:v>4.4</x:v>
      </x:c>
      <x:c r="D42" s="63" t="n">
        <x:v>0.962</x:v>
      </x:c>
      <x:c r="E42" s="61" t="n">
        <x:f>(B42-Centroidi!$B$5)/Centroidi!$B$6</x:f>
        <x:v>2.0163232994112055</x:v>
      </x:c>
      <x:c r="F42" s="61" t="n">
        <x:f>(C42-Centroidi!$C$5)/Centroidi!$C$6</x:f>
        <x:v>0.01712446035500837</x:v>
      </x:c>
      <x:c r="G42" s="61" t="n">
        <x:f>(D42-Centroidi!$D$5)/Centroidi!$D$6</x:f>
        <x:v>1.9287808790830416</x:v>
      </x:c>
      <x:c r="H42" s="61" t="n">
        <x:f>SQRT((E42-Centroidi!$C$10)^2+(F42-Centroidi!$D$10)^2+(G42-Centroidi!$E$10)^2)</x:f>
        <x:v>4.372759740094398</x:v>
      </x:c>
      <x:c r="I42" s="61" t="n">
        <x:f>SQRT((E42-Centroidi!$C$11)^2+(F42-Centroidi!$D$11)^2+(G42-Centroidi!$E$11)^2)</x:f>
        <x:v>3.311463583874645</x:v>
      </x:c>
      <x:c r="J42" s="61" t="n">
        <x:f>SQRT((E42-Centroidi!$C$12)^2+(F42-Centroidi!$D$12)^2+(G42-Centroidi!$E$12)^2)</x:f>
        <x:v>1.0006717389645763</x:v>
      </x:c>
      <x:c r="K42" s="14" t="n">
        <x:f>IF(H42=MIN(H42:J42),1,IF(I42=MIN(H42:J42),2,3))</x:f>
        <x:v>3</x:v>
      </x:c>
      <x:c r="L42" s="14" t="str">
        <x:f>IF(K42=1,"Occasionali",IF(K42=2,"Abituali","Premium"))</x:f>
        <x:v>Premium</x:v>
      </x:c>
    </x:row>
    <x:row r="43">
      <x:c r="A43" s="14" t="str">
        <x:v>C026</x:v>
      </x:c>
      <x:c r="B43" s="67" t="n">
        <x:v>2860</x:v>
      </x:c>
      <x:c r="C43" s="77" t="n">
        <x:v>7.6</x:v>
      </x:c>
      <x:c r="D43" s="63" t="n">
        <x:v>0.269</x:v>
      </x:c>
      <x:c r="E43" s="61" t="n">
        <x:f>(B43-Centroidi!$B$5)/Centroidi!$B$6</x:f>
        <x:v>-0.4494123733915777</x:v>
      </x:c>
      <x:c r="F43" s="61" t="n">
        <x:f>(C43-Centroidi!$C$5)/Centroidi!$C$6</x:f>
        <x:v>1.4849353479271412</x:v>
      </x:c>
      <x:c r="G43" s="61" t="n">
        <x:f>(D43-Centroidi!$D$5)/Centroidi!$D$6</x:f>
        <x:v>-0.5918594415108858</x:v>
      </x:c>
      <x:c r="H43" s="61" t="n">
        <x:f>SQRT((E43-Centroidi!$C$10)^2+(F43-Centroidi!$D$10)^2+(G43-Centroidi!$E$10)^2)</x:f>
        <x:v>2.7018109126699983</x:v>
      </x:c>
      <x:c r="I43" s="61" t="n">
        <x:f>SQRT((E43-Centroidi!$C$11)^2+(F43-Centroidi!$D$11)^2+(G43-Centroidi!$E$11)^2)</x:f>
        <x:v>0.5949814029779452</x:v>
      </x:c>
      <x:c r="J43" s="61" t="n">
        <x:f>SQRT((E43-Centroidi!$C$12)^2+(F43-Centroidi!$D$12)^2+(G43-Centroidi!$E$12)^2)</x:f>
        <x:v>2.8893144761874114</x:v>
      </x:c>
      <x:c r="K43" s="14" t="n">
        <x:f>IF(H43=MIN(H43:J43),1,IF(I43=MIN(H43:J43),2,3))</x:f>
        <x:v>2</x:v>
      </x:c>
      <x:c r="L43" s="14" t="str">
        <x:f>IF(K43=1,"Occasionali",IF(K43=2,"Abituali","Premium"))</x:f>
        <x:v>Abituali</x:v>
      </x:c>
    </x:row>
    <x:row r="44">
      <x:c r="A44" s="14" t="str">
        <x:v>C048</x:v>
      </x:c>
      <x:c r="B44" s="67" t="n">
        <x:v>3530</x:v>
      </x:c>
      <x:c r="C44" s="77" t="n">
        <x:v>6.3</x:v>
      </x:c>
      <x:c r="D44" s="63" t="n">
        <x:v>0.502</x:v>
      </x:c>
      <x:c r="E44" s="61" t="n">
        <x:f>(B44-Centroidi!$B$5)/Centroidi!$B$6</x:f>
        <x:v>-0.1462852356341713</x:v>
      </x:c>
      <x:c r="F44" s="61" t="n">
        <x:f>(C44-Centroidi!$C$5)/Centroidi!$C$6</x:f>
        <x:v>0.8886371748509622</x:v>
      </x:c>
      <x:c r="G44" s="61" t="n">
        <x:f>(D44-Centroidi!$D$5)/Centroidi!$D$6</x:f>
        <x:v>0.25562857392689936</x:v>
      </x:c>
      <x:c r="H44" s="61" t="n">
        <x:f>SQRT((E44-Centroidi!$C$10)^2+(F44-Centroidi!$D$10)^2+(G44-Centroidi!$E$10)^2)</x:f>
        <x:v>2.520824020616067</x:v>
      </x:c>
      <x:c r="I44" s="61" t="n">
        <x:f>SQRT((E44-Centroidi!$C$11)^2+(F44-Centroidi!$D$11)^2+(G44-Centroidi!$E$11)^2)</x:f>
        <x:v>0.6036227391595288</x:v>
      </x:c>
      <x:c r="J44" s="61" t="n">
        <x:f>SQRT((E44-Centroidi!$C$12)^2+(F44-Centroidi!$D$12)^2+(G44-Centroidi!$E$12)^2)</x:f>
        <x:v>1.907974570902892</x:v>
      </x:c>
      <x:c r="K44" s="14" t="n">
        <x:f>IF(H44=MIN(H44:J44),1,IF(I44=MIN(H44:J44),2,3))</x:f>
        <x:v>2</x:v>
      </x:c>
      <x:c r="L44" s="14" t="str">
        <x:f>IF(K44=1,"Occasionali",IF(K44=2,"Abituali","Premium"))</x:f>
        <x:v>Abituali</x:v>
      </x:c>
    </x:row>
    <x:row r="45">
      <x:c r="A45" s="14" t="str">
        <x:v>C060</x:v>
      </x:c>
      <x:c r="B45" s="67" t="n">
        <x:v>7080</x:v>
      </x:c>
      <x:c r="C45" s="77" t="n">
        <x:v>3.4</x:v>
      </x:c>
      <x:c r="D45" s="63" t="n">
        <x:v>0.807</x:v>
      </x:c>
      <x:c r="E45" s="61" t="n">
        <x:f>(B45-Centroidi!$B$5)/Centroidi!$B$6</x:f>
        <x:v>1.4598361659162655</x:v>
      </x:c>
      <x:c r="F45" s="61" t="n">
        <x:f>(C45-Centroidi!$C$5)/Centroidi!$C$6</x:f>
        <x:v>-0.4415664420112834</x:v>
      </x:c>
      <x:c r="G45" s="61" t="n">
        <x:f>(D45-Centroidi!$D$5)/Centroidi!$D$6</x:f>
        <x:v>1.36500129799782</x:v>
      </x:c>
      <x:c r="H45" s="61" t="n">
        <x:f>SQRT((E45-Centroidi!$C$10)^2+(F45-Centroidi!$D$10)^2+(G45-Centroidi!$E$10)^2)</x:f>
        <x:v>3.497274968804301</x:v>
      </x:c>
      <x:c r="I45" s="61" t="n">
        <x:f>SQRT((E45-Centroidi!$C$11)^2+(F45-Centroidi!$D$11)^2+(G45-Centroidi!$E$11)^2)</x:f>
        <x:v>2.77888888953948</x:v>
      </x:c>
      <x:c r="J45" s="61" t="n">
        <x:f>SQRT((E45-Centroidi!$C$12)^2+(F45-Centroidi!$D$12)^2+(G45-Centroidi!$E$12)^2)</x:f>
        <x:v>0.5872432568516859</x:v>
      </x:c>
      <x:c r="K45" s="14" t="n">
        <x:f>IF(H45=MIN(H45:J45),1,IF(I45=MIN(H45:J45),2,3))</x:f>
        <x:v>3</x:v>
      </x:c>
      <x:c r="L45" s="14" t="str">
        <x:f>IF(K45=1,"Occasionali",IF(K45=2,"Abituali","Premium"))</x:f>
        <x:v>Premium</x:v>
      </x:c>
    </x:row>
    <x:row r="46">
      <x:c r="A46" s="14" t="str">
        <x:v>C049</x:v>
      </x:c>
      <x:c r="B46" s="67" t="n">
        <x:v>3000</x:v>
      </x:c>
      <x:c r="C46" s="77" t="n">
        <x:v>6.9</x:v>
      </x:c>
      <x:c r="D46" s="63" t="n">
        <x:v>0.179</x:v>
      </x:c>
      <x:c r="E46" s="61" t="n">
        <x:f>(B46-Centroidi!$B$5)/Centroidi!$B$6</x:f>
        <x:v>-0.3860723744571943</x:v>
      </x:c>
      <x:c r="F46" s="61" t="n">
        <x:f>(C46-Centroidi!$C$5)/Centroidi!$C$6</x:f>
        <x:v>1.1638517162707374</x:v>
      </x:c>
      <x:c r="G46" s="61" t="n">
        <x:f>(D46-Centroidi!$D$5)/Centroidi!$D$6</x:f>
        <x:v>-0.919215327302305</x:v>
      </x:c>
      <x:c r="H46" s="61" t="n">
        <x:f>SQRT((E46-Centroidi!$C$10)^2+(F46-Centroidi!$D$10)^2+(G46-Centroidi!$E$10)^2)</x:f>
        <x:v>2.3827462685026384</x:v>
      </x:c>
      <x:c r="I46" s="61" t="n">
        <x:f>SQRT((E46-Centroidi!$C$11)^2+(F46-Centroidi!$D$11)^2+(G46-Centroidi!$E$11)^2)</x:f>
        <x:v>0.6367413049648213</x:v>
      </x:c>
      <x:c r="J46" s="61" t="n">
        <x:f>SQRT((E46-Centroidi!$C$12)^2+(F46-Centroidi!$D$12)^2+(G46-Centroidi!$E$12)^2)</x:f>
        <x:v>2.9483514528539194</x:v>
      </x:c>
      <x:c r="K46" s="14" t="n">
        <x:f>IF(H46=MIN(H46:J46),1,IF(I46=MIN(H46:J46),2,3))</x:f>
        <x:v>2</x:v>
      </x:c>
      <x:c r="L46" s="14" t="str">
        <x:f>IF(K46=1,"Occasionali",IF(K46=2,"Abituali","Premium"))</x:f>
        <x:v>Abituali</x:v>
      </x:c>
    </x:row>
    <x:row r="47">
      <x:c r="A47" s="14" t="str">
        <x:v>C053</x:v>
      </x:c>
      <x:c r="B47" s="67" t="n">
        <x:v>5830</x:v>
      </x:c>
      <x:c r="C47" s="77" t="n">
        <x:v>5.5</x:v>
      </x:c>
      <x:c r="D47" s="63" t="n">
        <x:v>0.768</x:v>
      </x:c>
      <x:c r="E47" s="61" t="n">
        <x:f>(B47-Centroidi!$B$5)/Centroidi!$B$6</x:f>
        <x:v>0.894300461144985</x:v>
      </x:c>
      <x:c r="F47" s="61" t="n">
        <x:f>(C47-Centroidi!$C$5)/Centroidi!$C$6</x:f>
        <x:v>0.521684452957929</x:v>
      </x:c>
      <x:c r="G47" s="61" t="n">
        <x:f>(D47-Centroidi!$D$5)/Centroidi!$D$6</x:f>
        <x:v>1.2231470808215383</x:v>
      </x:c>
      <x:c r="H47" s="61" t="n">
        <x:f>SQRT((E47-Centroidi!$C$10)^2+(F47-Centroidi!$D$10)^2+(G47-Centroidi!$E$10)^2)</x:f>
        <x:v>3.360607038242304</x:v>
      </x:c>
      <x:c r="I47" s="61" t="n">
        <x:f>SQRT((E47-Centroidi!$C$11)^2+(F47-Centroidi!$D$11)^2+(G47-Centroidi!$E$11)^2)</x:f>
        <x:v>1.9579545253499726</x:v>
      </x:c>
      <x:c r="J47" s="61" t="n">
        <x:f>SQRT((E47-Centroidi!$C$12)^2+(F47-Centroidi!$D$12)^2+(G47-Centroidi!$E$12)^2)</x:f>
        <x:v>0.5538968521213063</x:v>
      </x:c>
      <x:c r="K47" s="14" t="n">
        <x:f>IF(H47=MIN(H47:J47),1,IF(I47=MIN(H47:J47),2,3))</x:f>
        <x:v>3</x:v>
      </x:c>
      <x:c r="L47" s="14" t="str">
        <x:f>IF(K47=1,"Occasionali",IF(K47=2,"Abituali","Premium"))</x:f>
        <x:v>Premium</x:v>
      </x:c>
    </x:row>
    <x:row r="48">
      <x:c r="A48" s="14" t="str">
        <x:v>C014</x:v>
      </x:c>
      <x:c r="B48" s="67" t="n">
        <x:v>1030</x:v>
      </x:c>
      <x:c r="C48" s="77" t="n">
        <x:v>1.9</x:v>
      </x:c>
      <x:c r="D48" s="63" t="n">
        <x:v>0.139</x:v>
      </x:c>
      <x:c r="E48" s="61" t="n">
        <x:f>(B48-Centroidi!$B$5)/Centroidi!$B$6</x:f>
        <x:v>-1.2773566451767324</x:v>
      </x:c>
      <x:c r="F48" s="61" t="n">
        <x:f>(C48-Centroidi!$C$5)/Centroidi!$C$6</x:f>
        <x:v>-1.1296027955607209</x:v>
      </x:c>
      <x:c r="G48" s="61" t="n">
        <x:f>(D48-Centroidi!$D$5)/Centroidi!$D$6</x:f>
        <x:v>-1.0647068320984912</x:v>
      </x:c>
      <x:c r="H48" s="61" t="n">
        <x:f>SQRT((E48-Centroidi!$C$10)^2+(F48-Centroidi!$D$10)^2+(G48-Centroidi!$E$10)^2)</x:f>
        <x:v>0.23887988496184825</x:v>
      </x:c>
      <x:c r="I48" s="61" t="n">
        <x:f>SQRT((E48-Centroidi!$C$11)^2+(F48-Centroidi!$D$11)^2+(G48-Centroidi!$E$11)^2)</x:f>
        <x:v>2.518714698342824</x:v>
      </x:c>
      <x:c r="J48" s="61" t="n">
        <x:f>SQRT((E48-Centroidi!$C$12)^2+(F48-Centroidi!$D$12)^2+(G48-Centroidi!$E$12)^2)</x:f>
        <x:v>3.6678002979810866</x:v>
      </x:c>
      <x:c r="K48" s="14" t="n">
        <x:f>IF(H48=MIN(H48:J48),1,IF(I48=MIN(H48:J48),2,3))</x:f>
        <x:v>1</x:v>
      </x:c>
      <x:c r="L48" s="14" t="str">
        <x:f>IF(K48=1,"Occasionali",IF(K48=2,"Abituali","Premium"))</x:f>
        <x:v>Occasionali</x:v>
      </x:c>
    </x:row>
    <x:row r="49">
      <x:c r="A49" s="14" t="str">
        <x:v>C017</x:v>
      </x:c>
      <x:c r="B49" s="67" t="n">
        <x:v>1190</x:v>
      </x:c>
      <x:c r="C49" s="77" t="n">
        <x:v>1.4</x:v>
      </x:c>
      <x:c r="D49" s="63" t="n">
        <x:v>0.127</x:v>
      </x:c>
      <x:c r="E49" s="61" t="n">
        <x:f>(B49-Centroidi!$B$5)/Centroidi!$B$6</x:f>
        <x:v>-1.2049680749660086</x:v>
      </x:c>
      <x:c r="F49" s="61" t="n">
        <x:f>(C49-Centroidi!$C$5)/Centroidi!$C$6</x:f>
        <x:v>-1.3589482467438667</x:v>
      </x:c>
      <x:c r="G49" s="61" t="n">
        <x:f>(D49-Centroidi!$D$5)/Centroidi!$D$6</x:f>
        <x:v>-1.1083542835373472</x:v>
      </x:c>
      <x:c r="H49" s="61" t="n">
        <x:f>SQRT((E49-Centroidi!$C$10)^2+(F49-Centroidi!$D$10)^2+(G49-Centroidi!$E$10)^2)</x:f>
        <x:v>0.3147401196745591</x:v>
      </x:c>
      <x:c r="I49" s="61" t="n">
        <x:f>SQRT((E49-Centroidi!$C$11)^2+(F49-Centroidi!$D$11)^2+(G49-Centroidi!$E$11)^2)</x:f>
        <x:v>2.7009350821168154</x:v>
      </x:c>
      <x:c r="J49" s="61" t="n">
        <x:f>SQRT((E49-Centroidi!$C$12)^2+(F49-Centroidi!$D$12)^2+(G49-Centroidi!$E$12)^2)</x:f>
        <x:v>3.730592206027085</x:v>
      </x:c>
      <x:c r="K49" s="14" t="n">
        <x:f>IF(H49=MIN(H49:J49),1,IF(I49=MIN(H49:J49),2,3))</x:f>
        <x:v>1</x:v>
      </x:c>
      <x:c r="L49" s="14" t="str">
        <x:f>IF(K49=1,"Occasionali",IF(K49=2,"Abituali","Premium"))</x:f>
        <x:v>Occasionali</x:v>
      </x:c>
    </x:row>
    <x:row r="50">
      <x:c r="A50" s="14" t="str">
        <x:v>C073</x:v>
      </x:c>
      <x:c r="B50" s="67" t="n">
        <x:v>5080</x:v>
      </x:c>
      <x:c r="C50" s="77" t="n">
        <x:v>3.9</x:v>
      </x:c>
      <x:c r="D50" s="63" t="n">
        <x:v>0.803</x:v>
      </x:c>
      <x:c r="E50" s="61" t="n">
        <x:f>(B50-Centroidi!$B$5)/Centroidi!$B$6</x:f>
        <x:v>0.5549790382822166</x:v>
      </x:c>
      <x:c r="F50" s="61" t="n">
        <x:f>(C50-Centroidi!$C$5)/Centroidi!$C$6</x:f>
        <x:v>-0.21222099082813764</x:v>
      </x:c>
      <x:c r="G50" s="61" t="n">
        <x:f>(D50-Centroidi!$D$5)/Centroidi!$D$6</x:f>
        <x:v>1.3504521475182014</x:v>
      </x:c>
      <x:c r="H50" s="61" t="n">
        <x:f>SQRT((E50-Centroidi!$C$10)^2+(F50-Centroidi!$D$10)^2+(G50-Centroidi!$E$10)^2)</x:f>
        <x:v>2.9632959634135636</x:v>
      </x:c>
      <x:c r="I50" s="61" t="n">
        <x:f>SQRT((E50-Centroidi!$C$11)^2+(F50-Centroidi!$D$11)^2+(G50-Centroidi!$E$11)^2)</x:f>
        <x:v>2.212800404789678</x:v>
      </x:c>
      <x:c r="J50" s="61" t="n">
        <x:f>SQRT((E50-Centroidi!$C$12)^2+(F50-Centroidi!$D$12)^2+(G50-Centroidi!$E$12)^2)</x:f>
        <x:v>0.7633412562479004</x:v>
      </x:c>
      <x:c r="K50" s="14" t="n">
        <x:f>IF(H50=MIN(H50:J50),1,IF(I50=MIN(H50:J50),2,3))</x:f>
        <x:v>3</x:v>
      </x:c>
      <x:c r="L50" s="14" t="str">
        <x:f>IF(K50=1,"Occasionali",IF(K50=2,"Abituali","Premium"))</x:f>
        <x:v>Premium</x:v>
      </x:c>
    </x:row>
    <x:row r="51">
      <x:c r="A51" s="14" t="str">
        <x:v>C034</x:v>
      </x:c>
      <x:c r="B51" s="67" t="n">
        <x:v>3170</x:v>
      </x:c>
      <x:c r="C51" s="77" t="n">
        <x:v>8.4</x:v>
      </x:c>
      <x:c r="D51" s="63" t="n">
        <x:v>0.33</x:v>
      </x:c>
      <x:c r="E51" s="61" t="n">
        <x:f>(B51-Centroidi!$B$5)/Centroidi!$B$6</x:f>
        <x:v>-0.3091595186083001</x:v>
      </x:c>
      <x:c r="F51" s="61" t="n">
        <x:f>(C51-Centroidi!$C$5)/Centroidi!$C$6</x:f>
        <x:v>1.8518880698201747</x:v>
      </x:c>
      <x:c r="G51" s="61" t="n">
        <x:f>(D51-Centroidi!$D$5)/Centroidi!$D$6</x:f>
        <x:v>-0.36998489669670165</x:v>
      </x:c>
      <x:c r="H51" s="61" t="n">
        <x:f>SQRT((E51-Centroidi!$C$10)^2+(F51-Centroidi!$D$10)^2+(G51-Centroidi!$E$10)^2)</x:f>
        <x:v>3.12264865000823</x:v>
      </x:c>
      <x:c r="I51" s="61" t="n">
        <x:f>SQRT((E51-Centroidi!$C$11)^2+(F51-Centroidi!$D$11)^2+(G51-Centroidi!$E$11)^2)</x:f>
        <x:v>0.8429129679286245</x:v>
      </x:c>
      <x:c r="J51" s="61" t="n">
        <x:f>SQRT((E51-Centroidi!$C$12)^2+(F51-Centroidi!$D$12)^2+(G51-Centroidi!$E$12)^2)</x:f>
        <x:v>2.8730565117265985</x:v>
      </x:c>
      <x:c r="K51" s="14" t="n">
        <x:f>IF(H51=MIN(H51:J51),1,IF(I51=MIN(H51:J51),2,3))</x:f>
        <x:v>2</x:v>
      </x:c>
      <x:c r="L51" s="14" t="str">
        <x:f>IF(K51=1,"Occasionali",IF(K51=2,"Abituali","Premium"))</x:f>
        <x:v>Abituali</x:v>
      </x:c>
    </x:row>
    <x:row r="52">
      <x:c r="A52" s="14" t="str">
        <x:v>C063</x:v>
      </x:c>
      <x:c r="B52" s="67" t="n">
        <x:v>6960</x:v>
      </x:c>
      <x:c r="C52" s="77" t="n">
        <x:v>3.8</x:v>
      </x:c>
      <x:c r="D52" s="63" t="n">
        <x:v>0.796</x:v>
      </x:c>
      <x:c r="E52" s="61" t="n">
        <x:f>(B52-Centroidi!$B$5)/Centroidi!$B$6</x:f>
        <x:v>1.4055447382582227</x:v>
      </x:c>
      <x:c r="F52" s="61" t="n">
        <x:f>(C52-Centroidi!$C$5)/Centroidi!$C$6</x:f>
        <x:v>-0.25809008106476683</x:v>
      </x:c>
      <x:c r="G52" s="61" t="n">
        <x:f>(D52-Centroidi!$D$5)/Centroidi!$D$6</x:f>
        <x:v>1.3249911341788687</x:v>
      </x:c>
      <x:c r="H52" s="61" t="n">
        <x:f>SQRT((E52-Centroidi!$C$10)^2+(F52-Centroidi!$D$10)^2+(G52-Centroidi!$E$10)^2)</x:f>
        <x:v>3.472503546621104</x:v>
      </x:c>
      <x:c r="I52" s="61" t="n">
        <x:f>SQRT((E52-Centroidi!$C$11)^2+(F52-Centroidi!$D$11)^2+(G52-Centroidi!$E$11)^2)</x:f>
        <x:v>2.6286878482632328</x:v>
      </x:c>
      <x:c r="J52" s="61" t="n">
        <x:f>SQRT((E52-Centroidi!$C$12)^2+(F52-Centroidi!$D$12)^2+(G52-Centroidi!$E$12)^2)</x:f>
        <x:v>0.39375163933869645</x:v>
      </x:c>
      <x:c r="K52" s="14" t="n">
        <x:f>IF(H52=MIN(H52:J52),1,IF(I52=MIN(H52:J52),2,3))</x:f>
        <x:v>3</x:v>
      </x:c>
      <x:c r="L52" s="14" t="str">
        <x:f>IF(K52=1,"Occasionali",IF(K52=2,"Abituali","Premium"))</x:f>
        <x:v>Premium</x:v>
      </x:c>
    </x:row>
    <x:row r="53">
      <x:c r="A53" s="14" t="str">
        <x:v>C059</x:v>
      </x:c>
      <x:c r="B53" s="67" t="n">
        <x:v>6720</x:v>
      </x:c>
      <x:c r="C53" s="77" t="n">
        <x:v>3.8</x:v>
      </x:c>
      <x:c r="D53" s="63" t="n">
        <x:v>0.838</x:v>
      </x:c>
      <x:c r="E53" s="61" t="n">
        <x:f>(B53-Centroidi!$B$5)/Centroidi!$B$6</x:f>
        <x:v>1.2969618829421368</x:v>
      </x:c>
      <x:c r="F53" s="61" t="n">
        <x:f>(C53-Centroidi!$C$5)/Centroidi!$C$6</x:f>
        <x:v>-0.25809008106476683</x:v>
      </x:c>
      <x:c r="G53" s="61" t="n">
        <x:f>(D53-Centroidi!$D$5)/Centroidi!$D$6</x:f>
        <x:v>1.477757214214864</x:v>
      </x:c>
      <x:c r="H53" s="61" t="n">
        <x:f>SQRT((E53-Centroidi!$C$10)^2+(F53-Centroidi!$D$10)^2+(G53-Centroidi!$E$10)^2)</x:f>
        <x:v>3.500799615553598</x:v>
      </x:c>
      <x:c r="I53" s="61" t="n">
        <x:f>SQRT((E53-Centroidi!$C$11)^2+(F53-Centroidi!$D$11)^2+(G53-Centroidi!$E$11)^2)</x:f>
        <x:v>2.6657000338130934</x:v>
      </x:c>
      <x:c r="J53" s="61" t="n">
        <x:f>SQRT((E53-Centroidi!$C$12)^2+(F53-Centroidi!$D$12)^2+(G53-Centroidi!$E$12)^2)</x:f>
        <x:v>0.40733696010332693</x:v>
      </x:c>
      <x:c r="K53" s="14" t="n">
        <x:f>IF(H53=MIN(H53:J53),1,IF(I53=MIN(H53:J53),2,3))</x:f>
        <x:v>3</x:v>
      </x:c>
      <x:c r="L53" s="14" t="str">
        <x:f>IF(K53=1,"Occasionali",IF(K53=2,"Abituali","Premium"))</x:f>
        <x:v>Premium</x:v>
      </x:c>
    </x:row>
    <x:row r="54">
      <x:c r="A54" s="14" t="str">
        <x:v>C043</x:v>
      </x:c>
      <x:c r="B54" s="67" t="n">
        <x:v>4880</x:v>
      </x:c>
      <x:c r="C54" s="77" t="n">
        <x:v>6.8</x:v>
      </x:c>
      <x:c r="D54" s="63" t="n">
        <x:v>0.443</x:v>
      </x:c>
      <x:c r="E54" s="61" t="n">
        <x:f>(B54-Centroidi!$B$5)/Centroidi!$B$6</x:f>
        <x:v>0.46449332551881173</x:v>
      </x:c>
      <x:c r="F54" s="61" t="n">
        <x:f>(C54-Centroidi!$C$5)/Centroidi!$C$6</x:f>
        <x:v>1.117982626034108</x:v>
      </x:c>
      <x:c r="G54" s="61" t="n">
        <x:f>(D54-Centroidi!$D$5)/Centroidi!$D$6</x:f>
        <x:v>0.04102860435252458</x:v>
      </x:c>
      <x:c r="H54" s="61" t="n">
        <x:f>SQRT((E54-Centroidi!$C$10)^2+(F54-Centroidi!$D$10)^2+(G54-Centroidi!$E$10)^2)</x:f>
        <x:v>2.8888453731941164</x:v>
      </x:c>
      <x:c r="I54" s="61" t="n">
        <x:f>SQRT((E54-Centroidi!$C$11)^2+(F54-Centroidi!$D$11)^2+(G54-Centroidi!$E$11)^2)</x:f>
        <x:v>0.7563733357920865</x:v>
      </x:c>
      <x:c r="J54" s="61" t="n">
        <x:f>SQRT((E54-Centroidi!$C$12)^2+(F54-Centroidi!$D$12)^2+(G54-Centroidi!$E$12)^2)</x:f>
        <x:v>1.7928905288273536</x:v>
      </x:c>
      <x:c r="K54" s="14" t="n">
        <x:f>IF(H54=MIN(H54:J54),1,IF(I54=MIN(H54:J54),2,3))</x:f>
        <x:v>2</x:v>
      </x:c>
      <x:c r="L54" s="14" t="str">
        <x:f>IF(K54=1,"Occasionali",IF(K54=2,"Abituali","Premium"))</x:f>
        <x:v>Abituali</x:v>
      </x:c>
    </x:row>
    <x:row r="55">
      <x:c r="A55" s="14" t="str">
        <x:v>C027</x:v>
      </x:c>
      <x:c r="B55" s="67" t="n">
        <x:v>3350</x:v>
      </x:c>
      <x:c r="C55" s="77" t="n">
        <x:v>7.4</x:v>
      </x:c>
      <x:c r="D55" s="63" t="n">
        <x:v>0.255</x:v>
      </x:c>
      <x:c r="E55" s="61" t="n">
        <x:f>(B55-Centroidi!$B$5)/Centroidi!$B$6</x:f>
        <x:v>-0.22772237712123572</x:v>
      </x:c>
      <x:c r="F55" s="61" t="n">
        <x:f>(C55-Centroidi!$C$5)/Centroidi!$C$6</x:f>
        <x:v>1.3931971674538832</x:v>
      </x:c>
      <x:c r="G55" s="61" t="n">
        <x:f>(D55-Centroidi!$D$5)/Centroidi!$D$6</x:f>
        <x:v>-0.6427814681895511</x:v>
      </x:c>
      <x:c r="H55" s="61" t="n">
        <x:f>SQRT((E55-Centroidi!$C$10)^2+(F55-Centroidi!$D$10)^2+(G55-Centroidi!$E$10)^2)</x:f>
        <x:v>2.6676445443879753</x:v>
      </x:c>
      <x:c r="I55" s="61" t="n">
        <x:f>SQRT((E55-Centroidi!$C$11)^2+(F55-Centroidi!$D$11)^2+(G55-Centroidi!$E$11)^2)</x:f>
        <x:v>0.4880204009653976</x:v>
      </x:c>
      <x:c r="J55" s="61" t="n">
        <x:f>SQRT((E55-Centroidi!$C$12)^2+(F55-Centroidi!$D$12)^2+(G55-Centroidi!$E$12)^2)</x:f>
        <x:v>2.7556482402097418</x:v>
      </x:c>
      <x:c r="K55" s="14" t="n">
        <x:f>IF(H55=MIN(H55:J55),1,IF(I55=MIN(H55:J55),2,3))</x:f>
        <x:v>2</x:v>
      </x:c>
      <x:c r="L55" s="14" t="str">
        <x:f>IF(K55=1,"Occasionali",IF(K55=2,"Abituali","Premium"))</x:f>
        <x:v>Abituali</x:v>
      </x:c>
    </x:row>
    <x:row r="56">
      <x:c r="A56" s="14" t="str">
        <x:v>C006</x:v>
      </x:c>
      <x:c r="B56" s="67" t="n">
        <x:v>1020</x:v>
      </x:c>
      <x:c r="C56" s="77" t="n">
        <x:v>2.2</x:v>
      </x:c>
      <x:c r="D56" s="63" t="n">
        <x:v>0.252</x:v>
      </x:c>
      <x:c r="E56" s="61" t="n">
        <x:f>(B56-Centroidi!$B$5)/Centroidi!$B$6</x:f>
        <x:v>-1.2818809308149026</x:v>
      </x:c>
      <x:c r="F56" s="61" t="n">
        <x:f>(C56-Centroidi!$C$5)/Centroidi!$C$6</x:f>
        <x:v>-0.9919955248508332</x:v>
      </x:c>
      <x:c r="G56" s="61" t="n">
        <x:f>(D56-Centroidi!$D$5)/Centroidi!$D$6</x:f>
        <x:v>-0.653693331049265</x:v>
      </x:c>
      <x:c r="H56" s="61" t="n">
        <x:f>SQRT((E56-Centroidi!$C$10)^2+(F56-Centroidi!$D$10)^2+(G56-Centroidi!$E$10)^2)</x:f>
        <x:v>0.3981180083082714</x:v>
      </x:c>
      <x:c r="I56" s="61" t="n">
        <x:f>SQRT((E56-Centroidi!$C$11)^2+(F56-Centroidi!$D$11)^2+(G56-Centroidi!$E$11)^2)</x:f>
        <x:v>2.3126721563561303</x:v>
      </x:c>
      <x:c r="J56" s="61" t="n">
        <x:f>SQRT((E56-Centroidi!$C$12)^2+(F56-Centroidi!$D$12)^2+(G56-Centroidi!$E$12)^2)</x:f>
        <x:v>3.374438176355039</x:v>
      </x:c>
      <x:c r="K56" s="14" t="n">
        <x:f>IF(H56=MIN(H56:J56),1,IF(I56=MIN(H56:J56),2,3))</x:f>
        <x:v>1</x:v>
      </x:c>
      <x:c r="L56" s="14" t="str">
        <x:f>IF(K56=1,"Occasionali",IF(K56=2,"Abituali","Premium"))</x:f>
        <x:v>Occasionali</x:v>
      </x:c>
    </x:row>
    <x:row r="57">
      <x:c r="A57" s="14" t="str">
        <x:v>C040</x:v>
      </x:c>
      <x:c r="B57" s="67" t="n">
        <x:v>4290</x:v>
      </x:c>
      <x:c r="C57" s="77" t="n">
        <x:v>6</x:v>
      </x:c>
      <x:c r="D57" s="63" t="n">
        <x:v>0.287</x:v>
      </x:c>
      <x:c r="E57" s="61" t="n">
        <x:f>(B57-Centroidi!$B$5)/Centroidi!$B$6</x:f>
        <x:v>0.19756047286676728</x:v>
      </x:c>
      <x:c r="F57" s="61" t="n">
        <x:f>(C57-Centroidi!$C$5)/Centroidi!$C$6</x:f>
        <x:v>0.7510299041410747</x:v>
      </x:c>
      <x:c r="G57" s="61" t="n">
        <x:f>(D57-Centroidi!$D$5)/Centroidi!$D$6</x:f>
        <x:v>-0.5263882643526021</x:v>
      </x:c>
      <x:c r="H57" s="61" t="n">
        <x:f>SQRT((E57-Centroidi!$C$10)^2+(F57-Centroidi!$D$10)^2+(G57-Centroidi!$E$10)^2)</x:f>
        <x:v>2.297587296616168</x:v>
      </x:c>
      <x:c r="I57" s="61" t="n">
        <x:f>SQRT((E57-Centroidi!$C$11)^2+(F57-Centroidi!$D$11)^2+(G57-Centroidi!$E$11)^2)</x:f>
        <x:v>0.5062479886012702</x:v>
      </x:c>
      <x:c r="J57" s="61" t="n">
        <x:f>SQRT((E57-Centroidi!$C$12)^2+(F57-Centroidi!$D$12)^2+(G57-Centroidi!$E$12)^2)</x:f>
        <x:v>2.1989326030892657</x:v>
      </x:c>
      <x:c r="K57" s="14" t="n">
        <x:f>IF(H57=MIN(H57:J57),1,IF(I57=MIN(H57:J57),2,3))</x:f>
        <x:v>2</x:v>
      </x:c>
      <x:c r="L57" s="14" t="str">
        <x:f>IF(K57=1,"Occasionali",IF(K57=2,"Abituali","Premium"))</x:f>
        <x:v>Abituali</x:v>
      </x:c>
    </x:row>
    <x:row r="58">
      <x:c r="A58" s="14" t="str">
        <x:v>C003</x:v>
      </x:c>
      <x:c r="B58" s="67" t="n">
        <x:v>1590</x:v>
      </x:c>
      <x:c r="C58" s="77" t="n">
        <x:v>1.8</x:v>
      </x:c>
      <x:c r="D58" s="63" t="n">
        <x:v>0.145</x:v>
      </x:c>
      <x:c r="E58" s="61" t="n">
        <x:f>(B58-Centroidi!$B$5)/Centroidi!$B$6</x:f>
        <x:v>-1.0239966494391988</x:v>
      </x:c>
      <x:c r="F58" s="61" t="n">
        <x:f>(C58-Centroidi!$C$5)/Centroidi!$C$6</x:f>
        <x:v>-1.17547188579735</x:v>
      </x:c>
      <x:c r="G58" s="61" t="n">
        <x:f>(D58-Centroidi!$D$5)/Centroidi!$D$6</x:f>
        <x:v>-1.0428831063790633</x:v>
      </x:c>
      <x:c r="H58" s="61" t="n">
        <x:f>SQRT((E58-Centroidi!$C$10)^2+(F58-Centroidi!$D$10)^2+(G58-Centroidi!$E$10)^2)</x:f>
        <x:v>0.10657769012739461</x:v>
      </x:c>
      <x:c r="I58" s="61" t="n">
        <x:f>SQRT((E58-Centroidi!$C$11)^2+(F58-Centroidi!$D$11)^2+(G58-Centroidi!$E$11)^2)</x:f>
        <x:v>2.4541167000166992</x:v>
      </x:c>
      <x:c r="J58" s="61" t="n">
        <x:f>SQRT((E58-Centroidi!$C$12)^2+(F58-Centroidi!$D$12)^2+(G58-Centroidi!$E$12)^2)</x:f>
        <x:v>3.4999564046321616</x:v>
      </x:c>
      <x:c r="K58" s="14" t="n">
        <x:f>IF(H58=MIN(H58:J58),1,IF(I58=MIN(H58:J58),2,3))</x:f>
        <x:v>1</x:v>
      </x:c>
      <x:c r="L58" s="14" t="str">
        <x:f>IF(K58=1,"Occasionali",IF(K58=2,"Abituali","Premium"))</x:f>
        <x:v>Occasionali</x:v>
      </x:c>
    </x:row>
    <x:row r="59">
      <x:c r="A59" s="14" t="str">
        <x:v>C039</x:v>
      </x:c>
      <x:c r="B59" s="67" t="n">
        <x:v>4520</x:v>
      </x:c>
      <x:c r="C59" s="77" t="n">
        <x:v>5.2</x:v>
      </x:c>
      <x:c r="D59" s="63" t="n">
        <x:v>0.281</x:v>
      </x:c>
      <x:c r="E59" s="61" t="n">
        <x:f>(B59-Centroidi!$B$5)/Centroidi!$B$6</x:f>
        <x:v>0.3016190425446829</x:v>
      </x:c>
      <x:c r="F59" s="61" t="n">
        <x:f>(C59-Centroidi!$C$5)/Centroidi!$C$6</x:f>
        <x:v>0.38407718224804155</x:v>
      </x:c>
      <x:c r="G59" s="61" t="n">
        <x:f>(D59-Centroidi!$D$5)/Centroidi!$D$6</x:f>
        <x:v>-0.5482119900720298</x:v>
      </x:c>
      <x:c r="H59" s="61" t="n">
        <x:f>SQRT((E59-Centroidi!$C$10)^2+(F59-Centroidi!$D$10)^2+(G59-Centroidi!$E$10)^2)</x:f>
        <x:v>2.0723760522339956</x:v>
      </x:c>
      <x:c r="I59" s="61" t="n">
        <x:f>SQRT((E59-Centroidi!$C$11)^2+(F59-Centroidi!$D$11)^2+(G59-Centroidi!$E$11)^2)</x:f>
        <x:v>0.8289009798911694</x:v>
      </x:c>
      <x:c r="J59" s="61" t="n">
        <x:f>SQRT((E59-Centroidi!$C$12)^2+(F59-Centroidi!$D$12)^2+(G59-Centroidi!$E$12)^2)</x:f>
        <x:v>2.0893240117188743</x:v>
      </x:c>
      <x:c r="K59" s="14" t="n">
        <x:f>IF(H59=MIN(H59:J59),1,IF(I59=MIN(H59:J59),2,3))</x:f>
        <x:v>2</x:v>
      </x:c>
      <x:c r="L59" s="14" t="str">
        <x:f>IF(K59=1,"Occasionali",IF(K59=2,"Abituali","Premium"))</x:f>
        <x:v>Abituali</x:v>
      </x:c>
    </x:row>
    <x:row r="60">
      <x:c r="A60" s="14" t="str">
        <x:v>C038</x:v>
      </x:c>
      <x:c r="B60" s="67" t="n">
        <x:v>3040</x:v>
      </x:c>
      <x:c r="C60" s="77" t="n">
        <x:v>5.7</x:v>
      </x:c>
      <x:c r="D60" s="63" t="n">
        <x:v>0.32</x:v>
      </x:c>
      <x:c r="E60" s="61" t="n">
        <x:f>(B60-Centroidi!$B$5)/Centroidi!$B$6</x:f>
        <x:v>-0.3679752319045133</x:v>
      </x:c>
      <x:c r="F60" s="61" t="n">
        <x:f>(C60-Centroidi!$C$5)/Centroidi!$C$6</x:f>
        <x:v>0.6134226334311874</x:v>
      </x:c>
      <x:c r="G60" s="61" t="n">
        <x:f>(D60-Centroidi!$D$5)/Centroidi!$D$6</x:f>
        <x:v>-0.40635777289574826</x:v>
      </x:c>
      <x:c r="H60" s="61" t="n">
        <x:f>SQRT((E60-Centroidi!$C$10)^2+(F60-Centroidi!$D$10)^2+(G60-Centroidi!$E$10)^2)</x:f>
        <x:v>1.9482576521342394</x:v>
      </x:c>
      <x:c r="I60" s="61" t="n">
        <x:f>SQRT((E60-Centroidi!$C$11)^2+(F60-Centroidi!$D$11)^2+(G60-Centroidi!$E$11)^2)</x:f>
        <x:v>0.45065472268049994</x:v>
      </x:c>
      <x:c r="J60" s="61" t="n">
        <x:f>SQRT((E60-Centroidi!$C$12)^2+(F60-Centroidi!$D$12)^2+(G60-Centroidi!$E$12)^2)</x:f>
        <x:v>2.4003496982660395</x:v>
      </x:c>
      <x:c r="K60" s="14" t="n">
        <x:f>IF(H60=MIN(H60:J60),1,IF(I60=MIN(H60:J60),2,3))</x:f>
        <x:v>2</x:v>
      </x:c>
      <x:c r="L60" s="14" t="str">
        <x:f>IF(K60=1,"Occasionali",IF(K60=2,"Abituali","Premium"))</x:f>
        <x:v>Abituali</x:v>
      </x:c>
    </x:row>
    <x:row r="61">
      <x:c r="A61" s="14" t="str">
        <x:v>C064</x:v>
      </x:c>
      <x:c r="B61" s="67" t="n">
        <x:v>7460</x:v>
      </x:c>
      <x:c r="C61" s="77" t="n">
        <x:v>3.7</x:v>
      </x:c>
      <x:c r="D61" s="63" t="n">
        <x:v>0.794</x:v>
      </x:c>
      <x:c r="E61" s="61" t="n">
        <x:f>(B61-Centroidi!$B$5)/Centroidi!$B$6</x:f>
        <x:v>1.631759020166735</x:v>
      </x:c>
      <x:c r="F61" s="61" t="n">
        <x:f>(C61-Centroidi!$C$5)/Centroidi!$C$6</x:f>
        <x:v>-0.3039591713013958</x:v>
      </x:c>
      <x:c r="G61" s="61" t="n">
        <x:f>(D61-Centroidi!$D$5)/Centroidi!$D$6</x:f>
        <x:v>1.3177165589390594</x:v>
      </x:c>
      <x:c r="H61" s="61" t="n">
        <x:f>SQRT((E61-Centroidi!$C$10)^2+(F61-Centroidi!$D$10)^2+(G61-Centroidi!$E$10)^2)</x:f>
        <x:v>3.6215975159510103</x:v>
      </x:c>
      <x:c r="I61" s="61" t="n">
        <x:f>SQRT((E61-Centroidi!$C$11)^2+(F61-Centroidi!$D$11)^2+(G61-Centroidi!$E$11)^2)</x:f>
        <x:v>2.7886028438312715</x:v>
      </x:c>
      <x:c r="J61" s="61" t="n">
        <x:f>SQRT((E61-Centroidi!$C$12)^2+(F61-Centroidi!$D$12)^2+(G61-Centroidi!$E$12)^2)</x:f>
        <x:v>0.5585333042355246</x:v>
      </x:c>
      <x:c r="K61" s="14" t="n">
        <x:f>IF(H61=MIN(H61:J61),1,IF(I61=MIN(H61:J61),2,3))</x:f>
        <x:v>3</x:v>
      </x:c>
      <x:c r="L61" s="14" t="str">
        <x:f>IF(K61=1,"Occasionali",IF(K61=2,"Abituali","Premium"))</x:f>
        <x:v>Premium</x:v>
      </x:c>
    </x:row>
    <x:row r="62">
      <x:c r="A62" s="14" t="str">
        <x:v>C037</x:v>
      </x:c>
      <x:c r="B62" s="67" t="n">
        <x:v>1860</x:v>
      </x:c>
      <x:c r="C62" s="77" t="n">
        <x:v>7.4</x:v>
      </x:c>
      <x:c r="D62" s="63" t="n">
        <x:v>0.37</x:v>
      </x:c>
      <x:c r="E62" s="61" t="n">
        <x:f>(B62-Centroidi!$B$5)/Centroidi!$B$6</x:f>
        <x:v>-0.9018409372086021</x:v>
      </x:c>
      <x:c r="F62" s="61" t="n">
        <x:f>(C62-Centroidi!$C$5)/Centroidi!$C$6</x:f>
        <x:v>1.3931971674538832</x:v>
      </x:c>
      <x:c r="G62" s="61" t="n">
        <x:f>(D62-Centroidi!$D$5)/Centroidi!$D$6</x:f>
        <x:v>-0.22449339190051545</x:v>
      </x:c>
      <x:c r="H62" s="61" t="n">
        <x:f>SQRT((E62-Centroidi!$C$10)^2+(F62-Centroidi!$D$10)^2+(G62-Centroidi!$E$10)^2)</x:f>
        <x:v>2.624029112889159</x:v>
      </x:c>
      <x:c r="I62" s="61" t="n">
        <x:f>SQRT((E62-Centroidi!$C$11)^2+(F62-Centroidi!$D$11)^2+(G62-Centroidi!$E$11)^2)</x:f>
        <x:v>0.815201441398979</x:v>
      </x:c>
      <x:c r="J62" s="61" t="n">
        <x:f>SQRT((E62-Centroidi!$C$12)^2+(F62-Centroidi!$D$12)^2+(G62-Centroidi!$E$12)^2)</x:f>
        <x:v>2.9315649339237635</x:v>
      </x:c>
      <x:c r="K62" s="14" t="n">
        <x:f>IF(H62=MIN(H62:J62),1,IF(I62=MIN(H62:J62),2,3))</x:f>
        <x:v>2</x:v>
      </x:c>
      <x:c r="L62" s="14" t="str">
        <x:f>IF(K62=1,"Occasionali",IF(K62=2,"Abituali","Premium"))</x:f>
        <x:v>Abituali</x:v>
      </x:c>
    </x:row>
    <x:row r="63">
      <x:c r="A63" s="14" t="str">
        <x:v>C057</x:v>
      </x:c>
      <x:c r="B63" s="67" t="n">
        <x:v>6610</x:v>
      </x:c>
      <x:c r="C63" s="77" t="n">
        <x:v>4.9</x:v>
      </x:c>
      <x:c r="D63" s="63" t="n">
        <x:v>0.868</x:v>
      </x:c>
      <x:c r="E63" s="61" t="n">
        <x:f>(B63-Centroidi!$B$5)/Centroidi!$B$6</x:f>
        <x:v>1.2471947409222641</x:v>
      </x:c>
      <x:c r="F63" s="61" t="n">
        <x:f>(C63-Centroidi!$C$5)/Centroidi!$C$6</x:f>
        <x:v>0.24646991153815417</x:v>
      </x:c>
      <x:c r="G63" s="61" t="n">
        <x:f>(D63-Centroidi!$D$5)/Centroidi!$D$6</x:f>
        <x:v>1.586875842812004</x:v>
      </x:c>
      <x:c r="H63" s="61" t="n">
        <x:f>SQRT((E63-Centroidi!$C$10)^2+(F63-Centroidi!$D$10)^2+(G63-Centroidi!$E$10)^2)</x:f>
        <x:v>3.7002646901737437</x:v>
      </x:c>
      <x:c r="I63" s="61" t="n">
        <x:f>SQRT((E63-Centroidi!$C$11)^2+(F63-Centroidi!$D$11)^2+(G63-Centroidi!$E$11)^2)</x:f>
        <x:v>2.5166951177592707</x:v>
      </x:c>
      <x:c r="J63" s="61" t="n">
        <x:f>SQRT((E63-Centroidi!$C$12)^2+(F63-Centroidi!$D$12)^2+(G63-Centroidi!$E$12)^2)</x:f>
        <x:v>0.3279560389643186</x:v>
      </x:c>
      <x:c r="K63" s="14" t="n">
        <x:f>IF(H63=MIN(H63:J63),1,IF(I63=MIN(H63:J63),2,3))</x:f>
        <x:v>3</x:v>
      </x:c>
      <x:c r="L63" s="14" t="str">
        <x:f>IF(K63=1,"Occasionali",IF(K63=2,"Abituali","Premium"))</x:f>
        <x:v>Premium</x:v>
      </x:c>
    </x:row>
    <x:row r="64">
      <x:c r="A64" s="14" t="str">
        <x:v>C061</x:v>
      </x:c>
      <x:c r="B64" s="67" t="n">
        <x:v>6310</x:v>
      </x:c>
      <x:c r="C64" s="77" t="n">
        <x:v>2.9</x:v>
      </x:c>
      <x:c r="D64" s="63" t="n">
        <x:v>0.801</x:v>
      </x:c>
      <x:c r="E64" s="61" t="n">
        <x:f>(B64-Centroidi!$B$5)/Centroidi!$B$6</x:f>
        <x:v>1.1114661717771568</x:v>
      </x:c>
      <x:c r="F64" s="61" t="n">
        <x:f>(C64-Centroidi!$C$5)/Centroidi!$C$6</x:f>
        <x:v>-0.6709118931944292</x:v>
      </x:c>
      <x:c r="G64" s="61" t="n">
        <x:f>(D64-Centroidi!$D$5)/Centroidi!$D$6</x:f>
        <x:v>1.343177572278392</x:v>
      </x:c>
      <x:c r="H64" s="61" t="n">
        <x:f>SQRT((E64-Centroidi!$C$10)^2+(F64-Centroidi!$D$10)^2+(G64-Centroidi!$E$10)^2)</x:f>
        <x:v>3.1992063798928303</x:v>
      </x:c>
      <x:c r="I64" s="61" t="n">
        <x:f>SQRT((E64-Centroidi!$C$11)^2+(F64-Centroidi!$D$11)^2+(G64-Centroidi!$E$11)^2)</x:f>
        <x:v>2.7103394427213052</x:v>
      </x:c>
      <x:c r="J64" s="61" t="n">
        <x:f>SQRT((E64-Centroidi!$C$12)^2+(F64-Centroidi!$D$12)^2+(G64-Centroidi!$E$12)^2)</x:f>
        <x:v>0.7861126460375452</x:v>
      </x:c>
      <x:c r="K64" s="14" t="n">
        <x:f>IF(H64=MIN(H64:J64),1,IF(I64=MIN(H64:J64),2,3))</x:f>
        <x:v>3</x:v>
      </x:c>
      <x:c r="L64" s="14" t="str">
        <x:f>IF(K64=1,"Occasionali",IF(K64=2,"Abituali","Premium"))</x:f>
        <x:v>Premium</x:v>
      </x:c>
    </x:row>
    <x:row r="65">
      <x:c r="A65" s="14" t="str">
        <x:v>C016</x:v>
      </x:c>
      <x:c r="B65" s="67" t="n">
        <x:v>1600</x:v>
      </x:c>
      <x:c r="C65" s="77" t="n">
        <x:v>2.5</x:v>
      </x:c>
      <x:c r="D65" s="63" t="n">
        <x:v>0.193</x:v>
      </x:c>
      <x:c r="E65" s="61" t="n">
        <x:f>(B65-Centroidi!$B$5)/Centroidi!$B$6</x:f>
        <x:v>-1.0194723638010286</x:v>
      </x:c>
      <x:c r="F65" s="61" t="n">
        <x:f>(C65-Centroidi!$C$5)/Centroidi!$C$6</x:f>
        <x:v>-0.8543882541409458</x:v>
      </x:c>
      <x:c r="G65" s="61" t="n">
        <x:f>(D65-Centroidi!$D$5)/Centroidi!$D$6</x:f>
        <x:v>-0.8682933006236397</x:v>
      </x:c>
      <x:c r="H65" s="61" t="n">
        <x:f>SQRT((E65-Centroidi!$C$10)^2+(F65-Centroidi!$D$10)^2+(G65-Centroidi!$E$10)^2)</x:f>
        <x:v>0.28478647318633377</x:v>
      </x:c>
      <x:c r="I65" s="61" t="n">
        <x:f>SQRT((E65-Centroidi!$C$11)^2+(F65-Centroidi!$D$11)^2+(G65-Centroidi!$E$11)^2)</x:f>
        <x:v>2.119309750595218</x:v>
      </x:c>
      <x:c r="J65" s="61" t="n">
        <x:f>SQRT((E65-Centroidi!$C$12)^2+(F65-Centroidi!$D$12)^2+(G65-Centroidi!$E$12)^2)</x:f>
        <x:v>3.2752326939331904</x:v>
      </x:c>
      <x:c r="K65" s="14" t="n">
        <x:f>IF(H65=MIN(H65:J65),1,IF(I65=MIN(H65:J65),2,3))</x:f>
        <x:v>1</x:v>
      </x:c>
      <x:c r="L65" s="14" t="str">
        <x:f>IF(K65=1,"Occasionali",IF(K65=2,"Abituali","Premium"))</x:f>
        <x:v>Occasionali</x:v>
      </x:c>
    </x:row>
    <x:row r="66">
      <x:c r="A66" s="14" t="str">
        <x:v>C052</x:v>
      </x:c>
      <x:c r="B66" s="67" t="n">
        <x:v>6930</x:v>
      </x:c>
      <x:c r="C66" s="77" t="n">
        <x:v>4.9</x:v>
      </x:c>
      <x:c r="D66" s="63" t="n">
        <x:v>0.804</x:v>
      </x:c>
      <x:c r="E66" s="61" t="n">
        <x:f>(B66-Centroidi!$B$5)/Centroidi!$B$6</x:f>
        <x:v>1.3919718813437119</x:v>
      </x:c>
      <x:c r="F66" s="61" t="n">
        <x:f>(C66-Centroidi!$C$5)/Centroidi!$C$6</x:f>
        <x:v>0.24646991153815417</x:v>
      </x:c>
      <x:c r="G66" s="61" t="n">
        <x:f>(D66-Centroidi!$D$5)/Centroidi!$D$6</x:f>
        <x:v>1.354089435138106</x:v>
      </x:c>
      <x:c r="H66" s="61" t="n">
        <x:f>SQRT((E66-Centroidi!$C$10)^2+(F66-Centroidi!$D$10)^2+(G66-Centroidi!$E$10)^2)</x:f>
        <x:v>3.6400667575618653</x:v>
      </x:c>
      <x:c r="I66" s="61" t="n">
        <x:f>SQRT((E66-Centroidi!$C$11)^2+(F66-Centroidi!$D$11)^2+(G66-Centroidi!$E$11)^2)</x:f>
        <x:v>2.43520650522412</x:v>
      </x:c>
      <x:c r="J66" s="61" t="n">
        <x:f>SQRT((E66-Centroidi!$C$12)^2+(F66-Centroidi!$D$12)^2+(G66-Centroidi!$E$12)^2)</x:f>
        <x:v>0.21301243522259888</x:v>
      </x:c>
      <x:c r="K66" s="14" t="n">
        <x:f>IF(H66=MIN(H66:J66),1,IF(I66=MIN(H66:J66),2,3))</x:f>
        <x:v>3</x:v>
      </x:c>
      <x:c r="L66" s="14" t="str">
        <x:f>IF(K66=1,"Occasionali",IF(K66=2,"Abituali","Premium"))</x:f>
        <x:v>Premium</x:v>
      </x:c>
    </x:row>
    <x:row r="67">
      <x:c r="A67" s="14" t="str">
        <x:v>C031</x:v>
      </x:c>
      <x:c r="B67" s="67" t="n">
        <x:v>4110</x:v>
      </x:c>
      <x:c r="C67" s="77" t="n">
        <x:v>7.6</x:v>
      </x:c>
      <x:c r="D67" s="63" t="n">
        <x:v>0.345</x:v>
      </x:c>
      <x:c r="E67" s="61" t="n">
        <x:f>(B67-Centroidi!$B$5)/Centroidi!$B$6</x:f>
        <x:v>0.11612333137970288</x:v>
      </x:c>
      <x:c r="F67" s="61" t="n">
        <x:f>(C67-Centroidi!$C$5)/Centroidi!$C$6</x:f>
        <x:v>1.4849353479271412</x:v>
      </x:c>
      <x:c r="G67" s="61" t="n">
        <x:f>(D67-Centroidi!$D$5)/Centroidi!$D$6</x:f>
        <x:v>-0.31542558239813195</x:v>
      </x:c>
      <x:c r="H67" s="61" t="n">
        <x:f>SQRT((E67-Centroidi!$C$10)^2+(F67-Centroidi!$D$10)^2+(G67-Centroidi!$E$10)^2)</x:f>
        <x:v>2.931449515633869</x:v>
      </x:c>
      <x:c r="I67" s="61" t="n">
        <x:f>SQRT((E67-Centroidi!$C$11)^2+(F67-Centroidi!$D$11)^2+(G67-Centroidi!$E$11)^2)</x:f>
        <x:v>0.5555117909417983</x:v>
      </x:c>
      <x:c r="J67" s="61" t="n">
        <x:f>SQRT((E67-Centroidi!$C$12)^2+(F67-Centroidi!$D$12)^2+(G67-Centroidi!$E$12)^2)</x:f>
        <x:v>2.4045914717909356</x:v>
      </x:c>
      <x:c r="K67" s="14" t="n">
        <x:f>IF(H67=MIN(H67:J67),1,IF(I67=MIN(H67:J67),2,3))</x:f>
        <x:v>2</x:v>
      </x:c>
      <x:c r="L67" s="14" t="str">
        <x:f>IF(K67=1,"Occasionali",IF(K67=2,"Abituali","Premium"))</x:f>
        <x:v>Abituali</x:v>
      </x:c>
    </x:row>
    <x:row r="68">
      <x:c r="A68" s="14" t="str">
        <x:v>C074</x:v>
      </x:c>
      <x:c r="B68" s="67" t="n">
        <x:v>7160</x:v>
      </x:c>
      <x:c r="C68" s="77" t="n">
        <x:v>5.7</x:v>
      </x:c>
      <x:c r="D68" s="63" t="n">
        <x:v>0.737</x:v>
      </x:c>
      <x:c r="E68" s="61" t="n">
        <x:f>(B68-Centroidi!$B$5)/Centroidi!$B$6</x:f>
        <x:v>1.4960304510216276</x:v>
      </x:c>
      <x:c r="F68" s="61" t="n">
        <x:f>(C68-Centroidi!$C$5)/Centroidi!$C$6</x:f>
        <x:v>0.6134226334311874</x:v>
      </x:c>
      <x:c r="G68" s="61" t="n">
        <x:f>(D68-Centroidi!$D$5)/Centroidi!$D$6</x:f>
        <x:v>1.1103911646044937</x:v>
      </x:c>
      <x:c r="H68" s="61" t="n">
        <x:f>SQRT((E68-Centroidi!$C$10)^2+(F68-Centroidi!$D$10)^2+(G68-Centroidi!$E$10)^2)</x:f>
        <x:v>3.720349202235951</x:v>
      </x:c>
      <x:c r="I68" s="61" t="n">
        <x:f>SQRT((E68-Centroidi!$C$11)^2+(F68-Centroidi!$D$11)^2+(G68-Centroidi!$E$11)^2)</x:f>
        <x:v>2.2526746675465787</x:v>
      </x:c>
      <x:c r="J68" s="61" t="n">
        <x:f>SQRT((E68-Centroidi!$C$12)^2+(F68-Centroidi!$D$12)^2+(G68-Centroidi!$E$12)^2)</x:f>
        <x:v>0.5971303053263496</x:v>
      </x:c>
      <x:c r="K68" s="14" t="n">
        <x:f>IF(H68=MIN(H68:J68),1,IF(I68=MIN(H68:J68),2,3))</x:f>
        <x:v>3</x:v>
      </x:c>
      <x:c r="L68" s="14" t="str">
        <x:f>IF(K68=1,"Occasionali",IF(K68=2,"Abituali","Premium"))</x:f>
        <x:v>Premium</x:v>
      </x:c>
    </x:row>
    <x:row r="69">
      <x:c r="A69" s="14" t="str">
        <x:v>C009</x:v>
      </x:c>
      <x:c r="B69" s="67" t="n">
        <x:v>1820</x:v>
      </x:c>
      <x:c r="C69" s="77" t="n">
        <x:v>1.8</x:v>
      </x:c>
      <x:c r="D69" s="63" t="n">
        <x:v>0.186</x:v>
      </x:c>
      <x:c r="E69" s="61" t="n">
        <x:f>(B69-Centroidi!$B$5)/Centroidi!$B$6</x:f>
        <x:v>-0.9199380797612832</x:v>
      </x:c>
      <x:c r="F69" s="61" t="n">
        <x:f>(C69-Centroidi!$C$5)/Centroidi!$C$6</x:f>
        <x:v>-1.17547188579735</x:v>
      </x:c>
      <x:c r="G69" s="61" t="n">
        <x:f>(D69-Centroidi!$D$5)/Centroidi!$D$6</x:f>
        <x:v>-0.8937543139629724</x:v>
      </x:c>
      <x:c r="H69" s="61" t="n">
        <x:f>SQRT((E69-Centroidi!$C$10)^2+(F69-Centroidi!$D$10)^2+(G69-Centroidi!$E$10)^2)</x:f>
        <x:v>0.16684892169435714</x:v>
      </x:c>
      <x:c r="I69" s="61" t="n">
        <x:f>SQRT((E69-Centroidi!$C$11)^2+(F69-Centroidi!$D$11)^2+(G69-Centroidi!$E$11)^2)</x:f>
        <x:v>2.381051769361562</x:v>
      </x:c>
      <x:c r="J69" s="61" t="n">
        <x:f>SQRT((E69-Centroidi!$C$12)^2+(F69-Centroidi!$D$12)^2+(G69-Centroidi!$E$12)^2)</x:f>
        <x:v>3.33364994003199</x:v>
      </x:c>
      <x:c r="K69" s="14" t="n">
        <x:f>IF(H69=MIN(H69:J69),1,IF(I69=MIN(H69:J69),2,3))</x:f>
        <x:v>1</x:v>
      </x:c>
      <x:c r="L69" s="14" t="str">
        <x:f>IF(K69=1,"Occasionali",IF(K69=2,"Abituali","Premium"))</x:f>
        <x:v>Occasionali</x:v>
      </x:c>
    </x:row>
    <x:row r="70">
      <x:c r="A70" s="14" t="str">
        <x:v>C024</x:v>
      </x:c>
      <x:c r="B70" s="67" t="n">
        <x:v>1750</x:v>
      </x:c>
      <x:c r="C70" s="77" t="n">
        <x:v>2.5</x:v>
      </x:c>
      <x:c r="D70" s="63" t="n">
        <x:v>0.322</x:v>
      </x:c>
      <x:c r="E70" s="61" t="n">
        <x:f>(B70-Centroidi!$B$5)/Centroidi!$B$6</x:f>
        <x:v>-0.9516080792284749</x:v>
      </x:c>
      <x:c r="F70" s="61" t="n">
        <x:f>(C70-Centroidi!$C$5)/Centroidi!$C$6</x:f>
        <x:v>-0.8543882541409458</x:v>
      </x:c>
      <x:c r="G70" s="61" t="n">
        <x:f>(D70-Centroidi!$D$5)/Centroidi!$D$6</x:f>
        <x:v>-0.39908319765593897</x:v>
      </x:c>
      <x:c r="H70" s="61" t="n">
        <x:f>SQRT((E70-Centroidi!$C$10)^2+(F70-Centroidi!$D$10)^2+(G70-Centroidi!$E$10)^2)</x:f>
        <x:v>0.6308929406066044</x:v>
      </x:c>
      <x:c r="I70" s="61" t="n">
        <x:f>SQRT((E70-Centroidi!$C$11)^2+(F70-Centroidi!$D$11)^2+(G70-Centroidi!$E$11)^2)</x:f>
        <x:v>2.024901928331552</x:v>
      </x:c>
      <x:c r="J70" s="61" t="n">
        <x:f>SQRT((E70-Centroidi!$C$12)^2+(F70-Centroidi!$D$12)^2+(G70-Centroidi!$E$12)^2)</x:f>
        <x:v>2.9353325480676613</x:v>
      </x:c>
      <x:c r="K70" s="14" t="n">
        <x:f>IF(H70=MIN(H70:J70),1,IF(I70=MIN(H70:J70),2,3))</x:f>
        <x:v>1</x:v>
      </x:c>
      <x:c r="L70" s="14" t="str">
        <x:f>IF(K70=1,"Occasionali",IF(K70=2,"Abituali","Premium"))</x:f>
        <x:v>Occasionali</x:v>
      </x:c>
    </x:row>
    <x:row r="71">
      <x:c r="A71" s="14" t="str">
        <x:v>C011</x:v>
      </x:c>
      <x:c r="B71" s="67" t="n">
        <x:v>1690</x:v>
      </x:c>
      <x:c r="C71" s="77" t="n">
        <x:v>0.8</x:v>
      </x:c>
      <x:c r="D71" s="63" t="n">
        <x:v>0.02</x:v>
      </x:c>
      <x:c r="E71" s="61" t="n">
        <x:f>(B71-Centroidi!$B$5)/Centroidi!$B$6</x:f>
        <x:v>-0.9787537930574963</x:v>
      </x:c>
      <x:c r="F71" s="61" t="n">
        <x:f>(C71-Centroidi!$C$5)/Centroidi!$C$6</x:f>
        <x:v>-1.6341627881636416</x:v>
      </x:c>
      <x:c r="G71" s="61" t="n">
        <x:f>(D71-Centroidi!$D$5)/Centroidi!$D$6</x:f>
        <x:v>-1.4975440588671454</x:v>
      </x:c>
      <x:c r="H71" s="61" t="n">
        <x:f>SQRT((E71-Centroidi!$C$10)^2+(F71-Centroidi!$D$10)^2+(G71-Centroidi!$E$10)^2)</x:f>
        <x:v>0.748107572696817</x:v>
      </x:c>
      <x:c r="I71" s="61" t="n">
        <x:f>SQRT((E71-Centroidi!$C$11)^2+(F71-Centroidi!$D$11)^2+(G71-Centroidi!$E$11)^2)</x:f>
        <x:v>3.00417958985911</x:v>
      </x:c>
      <x:c r="J71" s="61" t="n">
        <x:f>SQRT((E71-Centroidi!$C$12)^2+(F71-Centroidi!$D$12)^2+(G71-Centroidi!$E$12)^2)</x:f>
        <x:v>3.9696993225030197</x:v>
      </x:c>
      <x:c r="K71" s="14" t="n">
        <x:f>IF(H71=MIN(H71:J71),1,IF(I71=MIN(H71:J71),2,3))</x:f>
        <x:v>1</x:v>
      </x:c>
      <x:c r="L71" s="14" t="str">
        <x:f>IF(K71=1,"Occasionali",IF(K71=2,"Abituali","Premium"))</x:f>
        <x:v>Occasionali</x:v>
      </x:c>
    </x:row>
    <x:row r="72">
      <x:c r="A72" s="14" t="str">
        <x:v>C066</x:v>
      </x:c>
      <x:c r="B72" s="67" t="n">
        <x:v>7160</x:v>
      </x:c>
      <x:c r="C72" s="77" t="n">
        <x:v>4.1</x:v>
      </x:c>
      <x:c r="D72" s="63" t="n">
        <x:v>0.751</x:v>
      </x:c>
      <x:c r="E72" s="61" t="n">
        <x:f>(B72-Centroidi!$B$5)/Centroidi!$B$6</x:f>
        <x:v>1.4960304510216276</x:v>
      </x:c>
      <x:c r="F72" s="61" t="n">
        <x:f>(C72-Centroidi!$C$5)/Centroidi!$C$6</x:f>
        <x:v>-0.12048281035487943</x:v>
      </x:c>
      <x:c r="G72" s="61" t="n">
        <x:f>(D72-Centroidi!$D$5)/Centroidi!$D$6</x:f>
        <x:v>1.1613131912831591</x:v>
      </x:c>
      <x:c r="H72" s="61" t="n">
        <x:f>SQRT((E72-Centroidi!$C$10)^2+(F72-Centroidi!$D$10)^2+(G72-Centroidi!$E$10)^2)</x:f>
        <x:v>3.471040771734843</x:v>
      </x:c>
      <x:c r="I72" s="61" t="n">
        <x:f>SQRT((E72-Centroidi!$C$11)^2+(F72-Centroidi!$D$11)^2+(G72-Centroidi!$E$11)^2)</x:f>
        <x:v>2.5214817102973113</x:v>
      </x:c>
      <x:c r="J72" s="61" t="n">
        <x:f>SQRT((E72-Centroidi!$C$12)^2+(F72-Centroidi!$D$12)^2+(G72-Centroidi!$E$12)^2)</x:f>
        <x:v>0.35754384642887926</x:v>
      </x:c>
      <x:c r="K72" s="14" t="n">
        <x:f>IF(H72=MIN(H72:J72),1,IF(I72=MIN(H72:J72),2,3))</x:f>
        <x:v>3</x:v>
      </x:c>
      <x:c r="L72" s="14" t="str">
        <x:f>IF(K72=1,"Occasionali",IF(K72=2,"Abituali","Premium"))</x:f>
        <x:v>Premium</x:v>
      </x:c>
    </x:row>
    <x:row r="73">
      <x:c r="A73" s="14" t="str">
        <x:v>C008</x:v>
      </x:c>
      <x:c r="B73" s="67" t="n">
        <x:v>840</x:v>
      </x:c>
      <x:c r="C73" s="77" t="n">
        <x:v>1.8</x:v>
      </x:c>
      <x:c r="D73" s="63" t="n">
        <x:v>0.194</x:v>
      </x:c>
      <x:c r="E73" s="61" t="n">
        <x:f>(B73-Centroidi!$B$5)/Centroidi!$B$6</x:f>
        <x:v>-1.363318072301967</x:v>
      </x:c>
      <x:c r="F73" s="61" t="n">
        <x:f>(C73-Centroidi!$C$5)/Centroidi!$C$6</x:f>
        <x:v>-1.17547188579735</x:v>
      </x:c>
      <x:c r="G73" s="61" t="n">
        <x:f>(D73-Centroidi!$D$5)/Centroidi!$D$6</x:f>
        <x:v>-0.8646560130037351</x:v>
      </x:c>
      <x:c r="H73" s="61" t="n">
        <x:f>SQRT((E73-Centroidi!$C$10)^2+(F73-Centroidi!$D$10)^2+(G73-Centroidi!$E$10)^2)</x:f>
        <x:v>0.3201925153896369</x:v>
      </x:c>
      <x:c r="I73" s="61" t="n">
        <x:f>SQRT((E73-Centroidi!$C$11)^2+(F73-Centroidi!$D$11)^2+(G73-Centroidi!$E$11)^2)</x:f>
        <x:v>2.5466122742155637</x:v>
      </x:c>
      <x:c r="J73" s="61" t="n">
        <x:f>SQRT((E73-Centroidi!$C$12)^2+(F73-Centroidi!$D$12)^2+(G73-Centroidi!$E$12)^2)</x:f>
        <x:v>3.6202569963923663</x:v>
      </x:c>
      <x:c r="K73" s="14" t="n">
        <x:f>IF(H73=MIN(H73:J73),1,IF(I73=MIN(H73:J73),2,3))</x:f>
        <x:v>1</x:v>
      </x:c>
      <x:c r="L73" s="14" t="str">
        <x:f>IF(K73=1,"Occasionali",IF(K73=2,"Abituali","Premium"))</x:f>
        <x:v>Occasionali</x:v>
      </x:c>
    </x:row>
    <x:row r="74">
      <x:c r="A74" s="14" t="str">
        <x:v>C021</x:v>
      </x:c>
      <x:c r="B74" s="67" t="n">
        <x:v>2050</x:v>
      </x:c>
      <x:c r="C74" s="77" t="n">
        <x:v>1.9</x:v>
      </x:c>
      <x:c r="D74" s="63" t="n">
        <x:v>0.06</x:v>
      </x:c>
      <x:c r="E74" s="61" t="n">
        <x:f>(B74-Centroidi!$B$5)/Centroidi!$B$6</x:f>
        <x:v>-0.8158795100833676</x:v>
      </x:c>
      <x:c r="F74" s="61" t="n">
        <x:f>(C74-Centroidi!$C$5)/Centroidi!$C$6</x:f>
        <x:v>-1.1296027955607209</x:v>
      </x:c>
      <x:c r="G74" s="61" t="n">
        <x:f>(D74-Centroidi!$D$5)/Centroidi!$D$6</x:f>
        <x:v>-1.3520525540709591</x:v>
      </x:c>
      <x:c r="H74" s="61" t="n">
        <x:f>SQRT((E74-Centroidi!$C$10)^2+(F74-Centroidi!$D$10)^2+(G74-Centroidi!$E$10)^2)</x:f>
        <x:v>0.4631745044984605</x:v>
      </x:c>
      <x:c r="I74" s="61" t="n">
        <x:f>SQRT((E74-Centroidi!$C$11)^2+(F74-Centroidi!$D$11)^2+(G74-Centroidi!$E$11)^2)</x:f>
        <x:v>2.4602358158298103</x:v>
      </x:c>
      <x:c r="J74" s="61" t="n">
        <x:f>SQRT((E74-Centroidi!$C$12)^2+(F74-Centroidi!$D$12)^2+(G74-Centroidi!$E$12)^2)</x:f>
        <x:v>3.573772517354246</x:v>
      </x:c>
      <x:c r="K74" s="14" t="n">
        <x:f>IF(H74=MIN(H74:J74),1,IF(I74=MIN(H74:J74),2,3))</x:f>
        <x:v>1</x:v>
      </x:c>
      <x:c r="L74" s="14" t="str">
        <x:f>IF(K74=1,"Occasionali",IF(K74=2,"Abituali","Premium"))</x:f>
        <x:v>Occasionali</x:v>
      </x:c>
    </x:row>
    <x:row r="75">
      <x:c r="A75" s="14" t="str">
        <x:v>C068</x:v>
      </x:c>
      <x:c r="B75" s="67" t="n">
        <x:v>6080</x:v>
      </x:c>
      <x:c r="C75" s="77" t="n">
        <x:v>4.8</x:v>
      </x:c>
      <x:c r="D75" s="63" t="n">
        <x:v>0.716</x:v>
      </x:c>
      <x:c r="E75" s="61" t="n">
        <x:f>(B75-Centroidi!$B$5)/Centroidi!$B$6</x:f>
        <x:v>1.007407602099241</x:v>
      </x:c>
      <x:c r="F75" s="61" t="n">
        <x:f>(C75-Centroidi!$C$5)/Centroidi!$C$6</x:f>
        <x:v>0.20060082130152476</x:v>
      </x:c>
      <x:c r="G75" s="61" t="n">
        <x:f>(D75-Centroidi!$D$5)/Centroidi!$D$6</x:f>
        <x:v>1.0340081245864958</x:v>
      </x:c>
      <x:c r="H75" s="61" t="n">
        <x:f>SQRT((E75-Centroidi!$C$10)^2+(F75-Centroidi!$D$10)^2+(G75-Centroidi!$E$10)^2)</x:f>
        <x:v>3.1634803707576085</x:v>
      </x:c>
      <x:c r="I75" s="61" t="n">
        <x:f>SQRT((E75-Centroidi!$C$11)^2+(F75-Centroidi!$D$11)^2+(G75-Centroidi!$E$11)^2)</x:f>
        <x:v>1.9900801511372772</x:v>
      </x:c>
      <x:c r="J75" s="61" t="n">
        <x:f>SQRT((E75-Centroidi!$C$12)^2+(F75-Centroidi!$D$12)^2+(G75-Centroidi!$E$12)^2)</x:f>
        <x:v>0.3672065599833371</x:v>
      </x:c>
      <x:c r="K75" s="14" t="n">
        <x:f>IF(H75=MIN(H75:J75),1,IF(I75=MIN(H75:J75),2,3))</x:f>
        <x:v>3</x:v>
      </x:c>
      <x:c r="L75" s="14" t="str">
        <x:f>IF(K75=1,"Occasionali",IF(K75=2,"Abituali","Premium"))</x:f>
        <x:v>Premium</x:v>
      </x:c>
    </x:row>
    <x:row r="76">
      <x:c r="A76" s="79" t="str">
        <x:v>C065</x:v>
      </x:c>
      <x:c r="B76" s="80" t="n">
        <x:v>6500</x:v>
      </x:c>
      <x:c r="C76" s="81" t="n">
        <x:v>6.7</x:v>
      </x:c>
      <x:c r="D76" s="82" t="n">
        <x:v>0.592</x:v>
      </x:c>
      <x:c r="E76" s="83" t="n">
        <x:f>(B76-Centroidi!$B$5)/Centroidi!$B$6</x:f>
        <x:v>1.1974275989023913</x:v>
      </x:c>
      <x:c r="F76" s="83" t="n">
        <x:f>(C76-Centroidi!$C$5)/Centroidi!$C$6</x:f>
        <x:v>1.072113535797479</x:v>
      </x:c>
      <x:c r="G76" s="83" t="n">
        <x:f>(D76-Centroidi!$D$5)/Centroidi!$D$6</x:f>
        <x:v>0.5829844597183184</x:v>
      </x:c>
      <x:c r="H76" s="83" t="n">
        <x:f>SQRT((E76-Centroidi!$C$10)^2+(F76-Centroidi!$D$10)^2+(G76-Centroidi!$E$10)^2)</x:f>
        <x:v>3.5067198643102144</x:v>
      </x:c>
      <x:c r="I76" s="83" t="n">
        <x:f>SQRT((E76-Centroidi!$C$11)^2+(F76-Centroidi!$D$11)^2+(G76-Centroidi!$E$11)^2)</x:f>
        <x:v>1.6595156468925625</x:v>
      </x:c>
      <x:c r="J76" s="83" t="n">
        <x:f>SQRT((E76-Centroidi!$C$12)^2+(F76-Centroidi!$D$12)^2+(G76-Centroidi!$E$12)^2)</x:f>
        <x:v>1.2034675460555182</x:v>
      </x:c>
      <x:c r="K76" s="79" t="n">
        <x:f>IF(H76=MIN(H76:J76),1,IF(I76=MIN(H76:J76),2,3))</x:f>
        <x:v>3</x:v>
      </x:c>
      <x:c r="L76" s="79" t="str">
        <x:f>IF(K76=1,"Occasionali",IF(K76=2,"Abituali","Premium"))</x:f>
        <x:v>Premium</x:v>
      </x:c>
    </x:row>
  </x:sheetData>
  <x:conditionalFormatting sqref="L2:L76">
    <x:cfRule type="expression" dxfId="0" priority="1">
      <x:formula>L2="Occasionali"</x:formula>
    </x:cfRule>
    <x:cfRule type="expression" dxfId="1" priority="2">
      <x:formula>L2="Abituali"</x:formula>
    </x:cfRule>
    <x:cfRule type="expression" dxfId="2" priority="3">
      <x:formula>L2="Premium"</x:formula>
    </x:cfRule>
  </x:conditionalFormatting>
  <x:conditionalFormatting sqref="H2:H76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{FF57698D-FC79-E670-8399-201A978330D8}</x14:id>
        </x:ext>
      </x:extLst>
    </x:cfRule>
  </x:conditionalFormatting>
  <x:conditionalFormatting sqref="I2:I76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{EF0ADA78-7187-E22C-850B-3C7E22984B0D}</x14:id>
        </x:ext>
      </x:extLst>
    </x:cfRule>
  </x:conditionalFormatting>
  <x:conditionalFormatting sqref="J2:J76">
    <x:cfRule type="dataBar" priority="6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{665074C4-F147-5742-351A-8FAA5DBCF4E8}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66b24d68999488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FF57698D-FC79-E670-8399-201A978330D8}">
            <x14:dataBar gradient="1">
              <x14:cfvo type="min"/>
              <x14:cfvo type="max"/>
              <x14:fillColor rgb="FFA02B93"/>
            </x14:dataBar>
          </x14:cfRule>
          <xm:sqref>H2:H76</xm:sqref>
        </x14:conditionalFormatting>
        <x14:conditionalFormatting>
          <x14:cfRule type="dataBar" priority="5" id="{EF0ADA78-7187-E22C-850B-3C7E22984B0D}">
            <x14:dataBar gradient="1">
              <x14:cfvo type="min"/>
              <x14:cfvo type="max"/>
              <x14:fillColor rgb="FFA02B93"/>
            </x14:dataBar>
          </x14:cfRule>
          <xm:sqref>I2:I76</xm:sqref>
        </x14:conditionalFormatting>
        <x14:conditionalFormatting>
          <x14:cfRule type="dataBar" priority="6" id="{665074C4-F147-5742-351A-8FAA5DBCF4E8}">
            <x14:dataBar gradient="1">
              <x14:cfvo type="min"/>
              <x14:cfvo type="max"/>
              <x14:fillColor rgb="FFA02B93"/>
            </x14:dataBar>
          </x14:cfRule>
          <xm:sqref>J2:J76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</x:cols>
  <x:sheetData>
    <x:row r="1">
      <x:c r="A1" s="55" t="str">
        <x:v>Standardizzazione e centroidi finali</x:v>
      </x:c>
      <x:c r="B1" s="55"/>
      <x:c r="C1" s="55"/>
      <x:c r="D1" s="55"/>
      <x:c r="E1" s="55"/>
      <x:c r="F1" s="55"/>
      <x:c r="G1" s="55"/>
    </x:row>
    <x:row r="2">
      <x:c r="A2" s="55"/>
      <x:c r="B2" s="55"/>
      <x:c r="C2" s="55"/>
      <x:c r="D2" s="55"/>
      <x:c r="E2" s="55"/>
      <x:c r="F2" s="55"/>
      <x:c r="G2" s="55"/>
    </x:row>
    <x:row r="4">
      <x:c r="A4" s="20" t="str">
        <x:v>Parametro</x:v>
      </x:c>
      <x:c r="B4" s="20" t="str">
        <x:v>Spesa annua (€)</x:v>
      </x:c>
      <x:c r="C4" s="20" t="str">
        <x:v>Acquisti/mese</x:v>
      </x:c>
      <x:c r="D4" s="20" t="str">
        <x:v>Quota premium</x:v>
      </x:c>
    </x:row>
    <x:row r="5">
      <x:c r="A5" t="str">
        <x:v>Media</x:v>
      </x:c>
      <x:c r="B5" s="59" t="n">
        <x:v>3853.3333333333335</x:v>
      </x:c>
      <x:c r="C5" s="61" t="n">
        <x:v>4.362666666666667</x:v>
      </x:c>
      <x:c r="D5" s="63" t="n">
        <x:v>0.43172</x:v>
      </x:c>
    </x:row>
    <x:row r="6">
      <x:c r="A6" t="str">
        <x:v>Deviazione standard</x:v>
      </x:c>
      <x:c r="B6" s="59" t="n">
        <x:v>2210.29369048509</x:v>
      </x:c>
      <x:c r="C6" s="61" t="n">
        <x:v>2.180117361912361</x:v>
      </x:c>
      <x:c r="D6" s="63" t="n">
        <x:v>0.2749301414954401</x:v>
      </x:c>
    </x:row>
    <x:row r="9">
      <x:c r="A9" s="65" t="str">
        <x:v>Cluster</x:v>
      </x:c>
      <x:c r="B9" s="65" t="str">
        <x:v>Segmento interpretativo</x:v>
      </x:c>
      <x:c r="C9" s="65" t="str">
        <x:v>Cent. Z spesa</x:v>
      </x:c>
      <x:c r="D9" s="65" t="str">
        <x:v>Cent. Z frequenza</x:v>
      </x:c>
      <x:c r="E9" s="65" t="str">
        <x:v>Cent. Z premium</x:v>
      </x:c>
      <x:c r="F9" s="65" t="str">
        <x:v>Spesa media (€)</x:v>
      </x:c>
      <x:c r="G9" s="65" t="str">
        <x:v>N. clienti</x:v>
      </x:c>
    </x:row>
    <x:row r="10">
      <x:c r="A10" t="n">
        <x:v>1</x:v>
      </x:c>
      <x:c r="B10" t="str">
        <x:v>Occasionali</x:v>
      </x:c>
      <x:c r="C10" s="61" t="n">
        <x:v>-1.062724534501936</x:v>
      </x:c>
      <x:c r="D10" s="61" t="n">
        <x:v>-1.1204289775133949</x:v>
      </x:c>
      <x:c r="E10" s="61" t="n">
        <x:v>-0.9602439316548295</x:v>
      </x:c>
      <x:c r="F10" s="67" t="n">
        <x:v>1504.4</x:v>
      </x:c>
      <x:c r="G10" t="n">
        <x:f>COUNTIF(Clienti!$K$2:$K$76,A10)</x:f>
        <x:v>25</x:v>
      </x:c>
    </x:row>
    <x:row r="11">
      <x:c r="A11" t="n">
        <x:v>2</x:v>
      </x:c>
      <x:c r="B11" t="str">
        <x:v>Abituali</x:v>
      </x:c>
      <x:c r="C11" s="61" t="n">
        <x:v>-0.18573700639901586</x:v>
      </x:c>
      <x:c r="D11" s="61" t="n">
        <x:v>1.018905391122989</x:v>
      </x:c>
      <x:c r="E11" s="61" t="n">
        <x:v>-0.33244808845928564</x:v>
      </x:c>
      <x:c r="F11" s="67" t="n">
        <x:v>3442.8</x:v>
      </x:c>
      <x:c r="G11" t="n">
        <x:f>COUNTIF(Clienti!$K$2:$K$76,A11)</x:f>
        <x:v>25</x:v>
      </x:c>
    </x:row>
    <x:row r="12">
      <x:c r="A12" t="n">
        <x:v>3</x:v>
      </x:c>
      <x:c r="B12" t="str">
        <x:v>Premium</x:v>
      </x:c>
      <x:c r="C12" s="61" t="n">
        <x:v>1.2484615409009516</x:v>
      </x:c>
      <x:c r="D12" s="61" t="n">
        <x:v>0.10152358639040586</x:v>
      </x:c>
      <x:c r="E12" s="61" t="n">
        <x:v>1.2926920201141152</x:v>
      </x:c>
      <x:c r="F12" s="67" t="n">
        <x:v>6612.8</x:v>
      </x:c>
      <x:c r="G12" t="n">
        <x:f>COUNTIF(Clienti!$K$2:$K$76,A12)</x:f>
        <x:v>25</x:v>
      </x:c>
    </x:row>
    <x:row r="15">
      <x:c r="A15" s="16" t="str">
        <x:v>I centroidi sono il “cliente medio” di ciascun gruppo nello spazio standardizzato. Sono stati ottenuti eseguendo K-means con k = 3. Nel foglio Clienti, invece, le distanze dai centroidi e l'assegnazione sono lasciate come formule Excel per rendere trasparente il ragionamento.</x:v>
      </x:c>
      <x:c r="B15" s="16"/>
      <x:c r="C15" s="16"/>
      <x:c r="D15" s="16"/>
      <x:c r="E15" s="16"/>
      <x:c r="F15" s="16"/>
      <x:c r="G15" s="16"/>
    </x:row>
    <x:row r="16">
      <x:c r="A16" s="16"/>
      <x:c r="B16" s="16"/>
      <x:c r="C16" s="16"/>
      <x:c r="D16" s="16"/>
      <x:c r="E16" s="16"/>
      <x:c r="F16" s="16"/>
      <x:c r="G16" s="16"/>
    </x:row>
    <x:row r="17">
      <x:c r="A17" s="16"/>
      <x:c r="B17" s="16"/>
      <x:c r="C17" s="16"/>
      <x:c r="D17" s="16"/>
      <x:c r="E17" s="16"/>
      <x:c r="F17" s="16"/>
      <x:c r="G17" s="16"/>
    </x:row>
    <x:row r="18">
      <x:c r="A18" s="16"/>
      <x:c r="B18" s="16"/>
      <x:c r="C18" s="16"/>
      <x:c r="D18" s="16"/>
      <x:c r="E18" s="16"/>
      <x:c r="F18" s="16"/>
      <x:c r="G18" s="16"/>
    </x:row>
    <x:row r="19">
      <x:c r="A19" s="16"/>
      <x:c r="B19" s="16"/>
      <x:c r="C19" s="16"/>
      <x:c r="D19" s="16"/>
      <x:c r="E19" s="16"/>
      <x:c r="F19" s="16"/>
      <x:c r="G19" s="16"/>
    </x:row>
  </x:sheetData>
  <x:mergeCells>
    <x:mergeCell ref="A1:G2"/>
    <x:mergeCell ref="A15:G1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3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>
      <x:c r="A1" s="55" t="str">
        <x:v>Geometria dei clienti: tre proiezioni dello spazio 3D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5"/>
      <x:c r="N1" s="55"/>
      <x:c r="O1" s="55"/>
      <x:c r="P1" s="55"/>
      <x:c r="Q1" s="55"/>
      <x:c r="R1" s="55"/>
    </x:row>
    <x:row r="2">
      <x:c r="A2" s="55"/>
      <x:c r="B2" s="55"/>
      <x:c r="C2" s="55"/>
      <x:c r="D2" s="55"/>
      <x:c r="E2" s="55"/>
      <x:c r="F2" s="55"/>
      <x:c r="G2" s="55"/>
      <x:c r="H2" s="55"/>
      <x:c r="I2" s="55"/>
      <x:c r="J2" s="55"/>
      <x:c r="K2" s="55"/>
      <x:c r="L2" s="55"/>
      <x:c r="M2" s="55"/>
      <x:c r="N2" s="55"/>
      <x:c r="O2" s="55"/>
      <x:c r="P2" s="55"/>
      <x:c r="Q2" s="55"/>
      <x:c r="R2" s="55"/>
    </x:row>
    <x:row r="4">
      <x:c r="A4" s="16" t="str">
        <x:v>Ogni punto rappresenta un cliente. I tre grafici mostrano proiezioni 2D dello stesso spazio a tre dimensioni. I gruppi sono gli stessi: cambiamo soltanto la coppia di assi osservata. Questo rende visibile l'idea che la segmentazione nasce dalla vicinanza geometrica fra profili commerciali.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6"/>
    </x:row>
    <x:row r="5">
      <x:c r="A5" s="16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6"/>
    </x:row>
    <x:row r="9">
      <x:c r="A9" s="20" t="str">
        <x:v>Spesa</x:v>
      </x:c>
      <x:c r="B9" s="20" t="str">
        <x:v>Frequenza</x:v>
      </x:c>
      <x:c r="C9" s="20" t="str">
        <x:v>Premium</x:v>
      </x:c>
      <x:c r="E9" s="36" t="str">
        <x:v>Spesa</x:v>
      </x:c>
      <x:c r="F9" s="36" t="str">
        <x:v>Frequenza</x:v>
      </x:c>
      <x:c r="G9" s="36" t="str">
        <x:v>Premium</x:v>
      </x:c>
      <x:c r="I9" s="90" t="str">
        <x:v>Spesa</x:v>
      </x:c>
      <x:c r="J9" s="90" t="str">
        <x:v>Frequenza</x:v>
      </x:c>
      <x:c r="K9" s="90" t="str">
        <x:v>Premium</x:v>
      </x:c>
    </x:row>
    <x:row r="10">
      <x:c r="A10" s="67" t="n">
        <x:v>1460</x:v>
      </x:c>
      <x:c r="B10" s="77" t="n">
        <x:v>2.2</x:v>
      </x:c>
      <x:c r="C10" s="63" t="n">
        <x:v>0.138</x:v>
      </x:c>
      <x:c r="E10" s="67" t="n">
        <x:v>2550</x:v>
      </x:c>
      <x:c r="F10" s="77" t="n">
        <x:v>6.4</x:v>
      </x:c>
      <x:c r="G10" s="63" t="n">
        <x:v>0.349</x:v>
      </x:c>
      <x:c r="I10" s="67" t="n">
        <x:v>4980</x:v>
      </x:c>
      <x:c r="J10" s="77" t="n">
        <x:v>4</x:v>
      </x:c>
      <x:c r="K10" s="63" t="n">
        <x:v>0.872</x:v>
      </x:c>
    </x:row>
    <x:row r="11">
      <x:c r="A11" s="67" t="n">
        <x:v>1110</x:v>
      </x:c>
      <x:c r="B11" s="77" t="n">
        <x:v>1.1</x:v>
      </x:c>
      <x:c r="C11" s="63" t="n">
        <x:v>0.214</x:v>
      </x:c>
      <x:c r="E11" s="67" t="n">
        <x:v>3140</x:v>
      </x:c>
      <x:c r="F11" s="77" t="n">
        <x:v>6.8</x:v>
      </x:c>
      <x:c r="G11" s="63" t="n">
        <x:v>0.394</x:v>
      </x:c>
      <x:c r="I11" s="67" t="n">
        <x:v>6690</x:v>
      </x:c>
      <x:c r="J11" s="77" t="n">
        <x:v>2.3</x:v>
      </x:c>
      <x:c r="K11" s="63" t="n">
        <x:v>0.94</x:v>
      </x:c>
    </x:row>
    <x:row r="12">
      <x:c r="A12" s="67" t="n">
        <x:v>1730</x:v>
      </x:c>
      <x:c r="B12" s="77" t="n">
        <x:v>1</x:v>
      </x:c>
      <x:c r="C12" s="63" t="n">
        <x:v>0.219</x:v>
      </x:c>
      <x:c r="E12" s="67" t="n">
        <x:v>2610</x:v>
      </x:c>
      <x:c r="F12" s="77" t="n">
        <x:v>7.6</x:v>
      </x:c>
      <x:c r="G12" s="63" t="n">
        <x:v>0.32</x:v>
      </x:c>
      <x:c r="I12" s="67" t="n">
        <x:v>7160</x:v>
      </x:c>
      <x:c r="J12" s="77" t="n">
        <x:v>5.7</x:v>
      </x:c>
      <x:c r="K12" s="63" t="n">
        <x:v>0.815</x:v>
      </x:c>
    </x:row>
    <x:row r="13">
      <x:c r="A13" s="67" t="n">
        <x:v>1710</x:v>
      </x:c>
      <x:c r="B13" s="77" t="n">
        <x:v>1.5</x:v>
      </x:c>
      <x:c r="C13" s="63" t="n">
        <x:v>0.121</x:v>
      </x:c>
      <x:c r="E13" s="67" t="n">
        <x:v>2740</x:v>
      </x:c>
      <x:c r="F13" s="77" t="n">
        <x:v>7.6</x:v>
      </x:c>
      <x:c r="G13" s="63" t="n">
        <x:v>0.354</x:v>
      </x:c>
      <x:c r="I13" s="67" t="n">
        <x:v>6220</x:v>
      </x:c>
      <x:c r="J13" s="77" t="n">
        <x:v>4.5</x:v>
      </x:c>
      <x:c r="K13" s="63" t="n">
        <x:v>0.893</x:v>
      </x:c>
    </x:row>
    <x:row r="14">
      <x:c r="A14" s="67" t="n">
        <x:v>1740</x:v>
      </x:c>
      <x:c r="B14" s="77" t="n">
        <x:v>1.9</x:v>
      </x:c>
      <x:c r="C14" s="63" t="n">
        <x:v>0.055</x:v>
      </x:c>
      <x:c r="E14" s="67" t="n">
        <x:v>3060</x:v>
      </x:c>
      <x:c r="F14" s="77" t="n">
        <x:v>5.1</x:v>
      </x:c>
      <x:c r="G14" s="63" t="n">
        <x:v>0.306</x:v>
      </x:c>
      <x:c r="I14" s="67" t="n">
        <x:v>6340</x:v>
      </x:c>
      <x:c r="J14" s="77" t="n">
        <x:v>6.1</x:v>
      </x:c>
      <x:c r="K14" s="63" t="n">
        <x:v>0.669</x:v>
      </x:c>
    </x:row>
    <x:row r="15">
      <x:c r="A15" s="67" t="n">
        <x:v>1230</x:v>
      </x:c>
      <x:c r="B15" s="77" t="n">
        <x:v>2.8</x:v>
      </x:c>
      <x:c r="C15" s="63" t="n">
        <x:v>0.059</x:v>
      </x:c>
      <x:c r="E15" s="67" t="n">
        <x:v>3030</x:v>
      </x:c>
      <x:c r="F15" s="77" t="n">
        <x:v>7</x:v>
      </x:c>
      <x:c r="G15" s="63" t="n">
        <x:v>0.427</x:v>
      </x:c>
      <x:c r="I15" s="67" t="n">
        <x:v>5840</x:v>
      </x:c>
      <x:c r="J15" s="77" t="n">
        <x:v>4.5</x:v>
      </x:c>
      <x:c r="K15" s="63" t="n">
        <x:v>0.735</x:v>
      </x:c>
    </x:row>
    <x:row r="16">
      <x:c r="A16" s="67" t="n">
        <x:v>1500</x:v>
      </x:c>
      <x:c r="B16" s="77" t="n">
        <x:v>2.2</x:v>
      </x:c>
      <x:c r="C16" s="63" t="n">
        <x:v>0.241</x:v>
      </x:c>
      <x:c r="E16" s="67" t="n">
        <x:v>4330</x:v>
      </x:c>
      <x:c r="F16" s="77" t="n">
        <x:v>7.5</x:v>
      </x:c>
      <x:c r="G16" s="63" t="n">
        <x:v>0.382</x:v>
      </x:c>
      <x:c r="I16" s="67" t="n">
        <x:v>6770</x:v>
      </x:c>
      <x:c r="J16" s="77" t="n">
        <x:v>6.6</x:v>
      </x:c>
      <x:c r="K16" s="63" t="n">
        <x:v>0.782</x:v>
      </x:c>
    </x:row>
    <x:row r="17">
      <x:c r="A17" s="67" t="n">
        <x:v>1660</x:v>
      </x:c>
      <x:c r="B17" s="77" t="n">
        <x:v>1.8</x:v>
      </x:c>
      <x:c r="C17" s="63" t="n">
        <x:v>0.324</x:v>
      </x:c>
      <x:c r="E17" s="67" t="n">
        <x:v>3210</x:v>
      </x:c>
      <x:c r="F17" s="77" t="n">
        <x:v>4.3</x:v>
      </x:c>
      <x:c r="G17" s="63" t="n">
        <x:v>0.223</x:v>
      </x:c>
      <x:c r="I17" s="67" t="n">
        <x:v>6780</x:v>
      </x:c>
      <x:c r="J17" s="77" t="n">
        <x:v>7.6</x:v>
      </x:c>
      <x:c r="K17" s="63" t="n">
        <x:v>0.682</x:v>
      </x:c>
    </x:row>
    <x:row r="18">
      <x:c r="A18" s="67" t="n">
        <x:v>1500</x:v>
      </x:c>
      <x:c r="B18" s="77" t="n">
        <x:v>2.7</x:v>
      </x:c>
      <x:c r="C18" s="63" t="n">
        <x:v>0.205</x:v>
      </x:c>
      <x:c r="E18" s="67" t="n">
        <x:v>4200</x:v>
      </x:c>
      <x:c r="F18" s="77" t="n">
        <x:v>6.5</x:v>
      </x:c>
      <x:c r="G18" s="63" t="n">
        <x:v>0.496</x:v>
      </x:c>
      <x:c r="I18" s="67" t="n">
        <x:v>6460</x:v>
      </x:c>
      <x:c r="J18" s="77" t="n">
        <x:v>3.7</x:v>
      </x:c>
      <x:c r="K18" s="63" t="n">
        <x:v>0.807</x:v>
      </x:c>
    </x:row>
    <x:row r="19">
      <x:c r="A19" s="67" t="n">
        <x:v>1550</x:v>
      </x:c>
      <x:c r="B19" s="77" t="n">
        <x:v>2.6</x:v>
      </x:c>
      <x:c r="C19" s="63" t="n">
        <x:v>0.082</x:v>
      </x:c>
      <x:c r="E19" s="67" t="n">
        <x:v>3460</x:v>
      </x:c>
      <x:c r="F19" s="77" t="n">
        <x:v>5</x:v>
      </x:c>
      <x:c r="G19" s="63" t="n">
        <x:v>0.34</x:v>
      </x:c>
      <x:c r="I19" s="67" t="n">
        <x:v>7880</x:v>
      </x:c>
      <x:c r="J19" s="77" t="n">
        <x:v>4.4</x:v>
      </x:c>
      <x:c r="K19" s="63" t="n">
        <x:v>0.659</x:v>
      </x:c>
    </x:row>
    <x:row r="20">
      <x:c r="A20" s="67" t="n">
        <x:v>1200</x:v>
      </x:c>
      <x:c r="B20" s="77" t="n">
        <x:v>1.3</x:v>
      </x:c>
      <x:c r="C20" s="63" t="n">
        <x:v>0.221</x:v>
      </x:c>
      <x:c r="E20" s="67" t="n">
        <x:v>3780</x:v>
      </x:c>
      <x:c r="F20" s="77" t="n">
        <x:v>8.3</x:v>
      </x:c>
      <x:c r="G20" s="63" t="n">
        <x:v>0.384</x:v>
      </x:c>
      <x:c r="I20" s="67" t="n">
        <x:v>6010</x:v>
      </x:c>
      <x:c r="J20" s="77" t="n">
        <x:v>2.7</x:v>
      </x:c>
      <x:c r="K20" s="63" t="n">
        <x:v>0.787</x:v>
      </x:c>
    </x:row>
    <x:row r="21">
      <x:c r="A21" s="67" t="n">
        <x:v>1470</x:v>
      </x:c>
      <x:c r="B21" s="77" t="n">
        <x:v>1.9</x:v>
      </x:c>
      <x:c r="C21" s="63" t="n">
        <x:v>0.197</x:v>
      </x:c>
      <x:c r="E21" s="67" t="n">
        <x:v>3430</x:v>
      </x:c>
      <x:c r="F21" s="77" t="n">
        <x:v>5.9</x:v>
      </x:c>
      <x:c r="G21" s="63" t="n">
        <x:v>0.208</x:v>
      </x:c>
      <x:c r="I21" s="67" t="n">
        <x:v>8310</x:v>
      </x:c>
      <x:c r="J21" s="77" t="n">
        <x:v>4.4</x:v>
      </x:c>
      <x:c r="K21" s="63" t="n">
        <x:v>0.962</x:v>
      </x:c>
    </x:row>
    <x:row r="22">
      <x:c r="A22" s="67" t="n">
        <x:v>1390</x:v>
      </x:c>
      <x:c r="B22" s="77" t="n">
        <x:v>1.9</x:v>
      </x:c>
      <x:c r="C22" s="63" t="n">
        <x:v>0.152</x:v>
      </x:c>
      <x:c r="E22" s="67" t="n">
        <x:v>4530</x:v>
      </x:c>
      <x:c r="F22" s="77" t="n">
        <x:v>4.5</x:v>
      </x:c>
      <x:c r="G22" s="63" t="n">
        <x:v>0.409</x:v>
      </x:c>
      <x:c r="I22" s="67" t="n">
        <x:v>7080</x:v>
      </x:c>
      <x:c r="J22" s="77" t="n">
        <x:v>3.4</x:v>
      </x:c>
      <x:c r="K22" s="63" t="n">
        <x:v>0.807</x:v>
      </x:c>
    </x:row>
    <x:row r="23">
      <x:c r="A23" s="67" t="n">
        <x:v>1730</x:v>
      </x:c>
      <x:c r="B23" s="77" t="n">
        <x:v>2.1</x:v>
      </x:c>
      <x:c r="C23" s="63" t="n">
        <x:v>0.108</x:v>
      </x:c>
      <x:c r="E23" s="67" t="n">
        <x:v>3390</x:v>
      </x:c>
      <x:c r="F23" s="77" t="n">
        <x:v>6.8</x:v>
      </x:c>
      <x:c r="G23" s="63" t="n">
        <x:v>0.335</x:v>
      </x:c>
      <x:c r="I23" s="67" t="n">
        <x:v>5830</x:v>
      </x:c>
      <x:c r="J23" s="77" t="n">
        <x:v>5.5</x:v>
      </x:c>
      <x:c r="K23" s="63" t="n">
        <x:v>0.768</x:v>
      </x:c>
    </x:row>
    <x:row r="24">
      <x:c r="A24" s="67" t="n">
        <x:v>2050</x:v>
      </x:c>
      <x:c r="B24" s="77" t="n">
        <x:v>2.4</x:v>
      </x:c>
      <x:c r="C24" s="63" t="n">
        <x:v>0.219</x:v>
      </x:c>
      <x:c r="E24" s="67" t="n">
        <x:v>2860</x:v>
      </x:c>
      <x:c r="F24" s="77" t="n">
        <x:v>7.6</x:v>
      </x:c>
      <x:c r="G24" s="63" t="n">
        <x:v>0.269</x:v>
      </x:c>
      <x:c r="I24" s="67" t="n">
        <x:v>5080</x:v>
      </x:c>
      <x:c r="J24" s="77" t="n">
        <x:v>3.9</x:v>
      </x:c>
      <x:c r="K24" s="63" t="n">
        <x:v>0.803</x:v>
      </x:c>
    </x:row>
    <x:row r="25">
      <x:c r="A25" s="67" t="n">
        <x:v>1030</x:v>
      </x:c>
      <x:c r="B25" s="77" t="n">
        <x:v>1.9</x:v>
      </x:c>
      <x:c r="C25" s="63" t="n">
        <x:v>0.139</x:v>
      </x:c>
      <x:c r="E25" s="67" t="n">
        <x:v>3530</x:v>
      </x:c>
      <x:c r="F25" s="77" t="n">
        <x:v>6.3</x:v>
      </x:c>
      <x:c r="G25" s="63" t="n">
        <x:v>0.502</x:v>
      </x:c>
      <x:c r="I25" s="67" t="n">
        <x:v>6960</x:v>
      </x:c>
      <x:c r="J25" s="77" t="n">
        <x:v>3.8</x:v>
      </x:c>
      <x:c r="K25" s="63" t="n">
        <x:v>0.796</x:v>
      </x:c>
    </x:row>
    <x:row r="26">
      <x:c r="A26" s="67" t="n">
        <x:v>1190</x:v>
      </x:c>
      <x:c r="B26" s="77" t="n">
        <x:v>1.4</x:v>
      </x:c>
      <x:c r="C26" s="63" t="n">
        <x:v>0.127</x:v>
      </x:c>
      <x:c r="E26" s="67" t="n">
        <x:v>3000</x:v>
      </x:c>
      <x:c r="F26" s="77" t="n">
        <x:v>6.9</x:v>
      </x:c>
      <x:c r="G26" s="63" t="n">
        <x:v>0.179</x:v>
      </x:c>
      <x:c r="I26" s="67" t="n">
        <x:v>6720</x:v>
      </x:c>
      <x:c r="J26" s="77" t="n">
        <x:v>3.8</x:v>
      </x:c>
      <x:c r="K26" s="63" t="n">
        <x:v>0.838</x:v>
      </x:c>
    </x:row>
    <x:row r="27">
      <x:c r="A27" s="67" t="n">
        <x:v>1020</x:v>
      </x:c>
      <x:c r="B27" s="77" t="n">
        <x:v>2.2</x:v>
      </x:c>
      <x:c r="C27" s="63" t="n">
        <x:v>0.252</x:v>
      </x:c>
      <x:c r="E27" s="67" t="n">
        <x:v>3170</x:v>
      </x:c>
      <x:c r="F27" s="77" t="n">
        <x:v>8.4</x:v>
      </x:c>
      <x:c r="G27" s="63" t="n">
        <x:v>0.33</x:v>
      </x:c>
      <x:c r="I27" s="67" t="n">
        <x:v>7460</x:v>
      </x:c>
      <x:c r="J27" s="77" t="n">
        <x:v>3.7</x:v>
      </x:c>
      <x:c r="K27" s="63" t="n">
        <x:v>0.794</x:v>
      </x:c>
    </x:row>
    <x:row r="28">
      <x:c r="A28" s="67" t="n">
        <x:v>1590</x:v>
      </x:c>
      <x:c r="B28" s="77" t="n">
        <x:v>1.8</x:v>
      </x:c>
      <x:c r="C28" s="63" t="n">
        <x:v>0.145</x:v>
      </x:c>
      <x:c r="E28" s="67" t="n">
        <x:v>4880</x:v>
      </x:c>
      <x:c r="F28" s="77" t="n">
        <x:v>6.8</x:v>
      </x:c>
      <x:c r="G28" s="63" t="n">
        <x:v>0.443</x:v>
      </x:c>
      <x:c r="I28" s="67" t="n">
        <x:v>6610</x:v>
      </x:c>
      <x:c r="J28" s="77" t="n">
        <x:v>4.9</x:v>
      </x:c>
      <x:c r="K28" s="63" t="n">
        <x:v>0.868</x:v>
      </x:c>
    </x:row>
    <x:row r="29">
      <x:c r="A29" s="67" t="n">
        <x:v>1600</x:v>
      </x:c>
      <x:c r="B29" s="77" t="n">
        <x:v>2.5</x:v>
      </x:c>
      <x:c r="C29" s="63" t="n">
        <x:v>0.193</x:v>
      </x:c>
      <x:c r="E29" s="67" t="n">
        <x:v>3350</x:v>
      </x:c>
      <x:c r="F29" s="77" t="n">
        <x:v>7.4</x:v>
      </x:c>
      <x:c r="G29" s="63" t="n">
        <x:v>0.255</x:v>
      </x:c>
      <x:c r="I29" s="67" t="n">
        <x:v>6310</x:v>
      </x:c>
      <x:c r="J29" s="77" t="n">
        <x:v>2.9</x:v>
      </x:c>
      <x:c r="K29" s="63" t="n">
        <x:v>0.801</x:v>
      </x:c>
    </x:row>
    <x:row r="30">
      <x:c r="A30" s="67" t="n">
        <x:v>1820</x:v>
      </x:c>
      <x:c r="B30" s="77" t="n">
        <x:v>1.8</x:v>
      </x:c>
      <x:c r="C30" s="63" t="n">
        <x:v>0.186</x:v>
      </x:c>
      <x:c r="E30" s="67" t="n">
        <x:v>4290</x:v>
      </x:c>
      <x:c r="F30" s="77" t="n">
        <x:v>6</x:v>
      </x:c>
      <x:c r="G30" s="63" t="n">
        <x:v>0.287</x:v>
      </x:c>
      <x:c r="I30" s="67" t="n">
        <x:v>6930</x:v>
      </x:c>
      <x:c r="J30" s="77" t="n">
        <x:v>4.9</x:v>
      </x:c>
      <x:c r="K30" s="63" t="n">
        <x:v>0.804</x:v>
      </x:c>
    </x:row>
    <x:row r="31">
      <x:c r="A31" s="67" t="n">
        <x:v>1750</x:v>
      </x:c>
      <x:c r="B31" s="77" t="n">
        <x:v>2.5</x:v>
      </x:c>
      <x:c r="C31" s="63" t="n">
        <x:v>0.322</x:v>
      </x:c>
      <x:c r="E31" s="67" t="n">
        <x:v>4520</x:v>
      </x:c>
      <x:c r="F31" s="77" t="n">
        <x:v>5.2</x:v>
      </x:c>
      <x:c r="G31" s="63" t="n">
        <x:v>0.281</x:v>
      </x:c>
      <x:c r="I31" s="67" t="n">
        <x:v>7160</x:v>
      </x:c>
      <x:c r="J31" s="77" t="n">
        <x:v>5.7</x:v>
      </x:c>
      <x:c r="K31" s="63" t="n">
        <x:v>0.737</x:v>
      </x:c>
    </x:row>
    <x:row r="32">
      <x:c r="A32" s="67" t="n">
        <x:v>1690</x:v>
      </x:c>
      <x:c r="B32" s="77" t="n">
        <x:v>0.8</x:v>
      </x:c>
      <x:c r="C32" s="63" t="n">
        <x:v>0.02</x:v>
      </x:c>
      <x:c r="E32" s="67" t="n">
        <x:v>3040</x:v>
      </x:c>
      <x:c r="F32" s="77" t="n">
        <x:v>5.7</x:v>
      </x:c>
      <x:c r="G32" s="63" t="n">
        <x:v>0.32</x:v>
      </x:c>
      <x:c r="I32" s="67" t="n">
        <x:v>7160</x:v>
      </x:c>
      <x:c r="J32" s="77" t="n">
        <x:v>4.1</x:v>
      </x:c>
      <x:c r="K32" s="63" t="n">
        <x:v>0.751</x:v>
      </x:c>
    </x:row>
    <x:row r="33">
      <x:c r="A33" s="67" t="n">
        <x:v>840</x:v>
      </x:c>
      <x:c r="B33" s="77" t="n">
        <x:v>1.8</x:v>
      </x:c>
      <x:c r="C33" s="63" t="n">
        <x:v>0.194</x:v>
      </x:c>
      <x:c r="E33" s="67" t="n">
        <x:v>1860</x:v>
      </x:c>
      <x:c r="F33" s="77" t="n">
        <x:v>7.4</x:v>
      </x:c>
      <x:c r="G33" s="63" t="n">
        <x:v>0.37</x:v>
      </x:c>
      <x:c r="I33" s="67" t="n">
        <x:v>6080</x:v>
      </x:c>
      <x:c r="J33" s="77" t="n">
        <x:v>4.8</x:v>
      </x:c>
      <x:c r="K33" s="63" t="n">
        <x:v>0.716</x:v>
      </x:c>
    </x:row>
    <x:row r="34">
      <x:c r="A34" s="67" t="n">
        <x:v>2050</x:v>
      </x:c>
      <x:c r="B34" s="77" t="n">
        <x:v>1.9</x:v>
      </x:c>
      <x:c r="C34" s="63" t="n">
        <x:v>0.06</x:v>
      </x:c>
      <x:c r="E34" s="67" t="n">
        <x:v>4110</x:v>
      </x:c>
      <x:c r="F34" s="77" t="n">
        <x:v>7.6</x:v>
      </x:c>
      <x:c r="G34" s="63" t="n">
        <x:v>0.345</x:v>
      </x:c>
      <x:c r="I34" s="67" t="n">
        <x:v>6500</x:v>
      </x:c>
      <x:c r="J34" s="77" t="n">
        <x:v>6.7</x:v>
      </x:c>
      <x:c r="K34" s="63" t="n">
        <x:v>0.592</x:v>
      </x:c>
    </x:row>
    <x:row r="39">
      <x:c r="A39" s="36" t="str">
        <x:v>Cluster</x:v>
      </x:c>
      <x:c r="B39" s="36" t="str">
        <x:v>Segmento</x:v>
      </x:c>
      <x:c r="C39" s="36" t="str">
        <x:v>Spesa media (€)</x:v>
      </x:c>
      <x:c r="D39" s="36" t="str">
        <x:v>Acquisti/mese</x:v>
      </x:c>
      <x:c r="E39" s="36" t="str">
        <x:v>Quota premium</x:v>
      </x:c>
    </x:row>
    <x:row r="40">
      <x:c r="A40" t="n">
        <x:v>1</x:v>
      </x:c>
      <x:c r="B40" t="str">
        <x:v>Occasionali</x:v>
      </x:c>
      <x:c r="C40" s="67" t="n">
        <x:v>1504.4</x:v>
      </x:c>
      <x:c r="D40" s="77" t="n">
        <x:v>1.92</x:v>
      </x:c>
      <x:c r="E40" s="63" t="n">
        <x:v>0.16772</x:v>
      </x:c>
    </x:row>
    <x:row r="41">
      <x:c r="A41" t="n">
        <x:v>2</x:v>
      </x:c>
      <x:c r="B41" t="str">
        <x:v>Abituali</x:v>
      </x:c>
      <x:c r="C41" s="67" t="n">
        <x:v>3442.8</x:v>
      </x:c>
      <x:c r="D41" s="77" t="n">
        <x:v>6.584</x:v>
      </x:c>
      <x:c r="E41" s="63" t="n">
        <x:v>0.34032</x:v>
      </x:c>
    </x:row>
    <x:row r="42">
      <x:c r="A42" t="n">
        <x:v>3</x:v>
      </x:c>
      <x:c r="B42" t="str">
        <x:v>Premium</x:v>
      </x:c>
      <x:c r="C42" s="67" t="n">
        <x:v>6612.8</x:v>
      </x:c>
      <x:c r="D42" s="77" t="n">
        <x:v>4.584</x:v>
      </x:c>
      <x:c r="E42" s="63" t="n">
        <x:v>0.78712</x:v>
      </x:c>
    </x:row>
    <x:row r="43">
      <x:c r="A43" s="94" t="str"/>
      <x:c r="B43" s="94" t="str">
        <x:v>Il centroide è il profilo medio del gruppo.</x:v>
      </x:c>
      <x:c r="C43" s="94"/>
      <x:c r="D43" s="94"/>
      <x:c r="E43" s="94"/>
    </x:row>
  </x:sheetData>
  <x:mergeCells>
    <x:mergeCell ref="A1:R2"/>
    <x:mergeCell ref="A4:R6"/>
  </x:mergeCells>
  <x:pageMargins left="0.7" right="0.7" top="0.75" bottom="0.75" header="0.3" footer="0.3"/>
  <x:drawing xmlns:r="http://schemas.openxmlformats.org/officeDocument/2006/relationships" r:id="R3af1ae1fd8e340d2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2" customHeight="1">
      <x:c r="A1" s="98" t="str">
        <x:v>Clusterizzazione 3D dei clienti</x:v>
      </x:c>
      <x:c r="B1" s="98"/>
      <x:c r="C1" s="98"/>
      <x:c r="D1" s="98"/>
      <x:c r="E1" s="98"/>
      <x:c r="F1" s="98"/>
      <x:c r="G1" s="98"/>
      <x:c r="H1" s="98"/>
      <x:c r="I1" s="98"/>
      <x:c r="J1" s="98"/>
      <x:c r="K1" s="98"/>
      <x:c r="L1" s="98"/>
      <x:c r="M1" s="98"/>
      <x:c r="N1" s="98"/>
    </x:row>
    <x:row r="2" ht="22" customHeight="1">
      <x:c r="A2" s="98"/>
      <x:c r="B2" s="98"/>
      <x:c r="C2" s="98"/>
      <x:c r="D2" s="98"/>
      <x:c r="E2" s="98"/>
      <x:c r="F2" s="98"/>
      <x:c r="G2" s="98"/>
      <x:c r="H2" s="98"/>
      <x:c r="I2" s="98"/>
      <x:c r="J2" s="98"/>
      <x:c r="K2" s="98"/>
      <x:c r="L2" s="98"/>
      <x:c r="M2" s="98"/>
      <x:c r="N2" s="98"/>
    </x:row>
    <x:row r="3" ht="22" customHeight="1"/>
    <x:row r="4" ht="24" customHeight="1">
      <x:c r="A4" s="99" t="str">
        <x:v>Ogni punto rappresenta un cliente. Le tre coordinate sono: spesa annua, frequenza di acquisto e quota di acquisti premium. Le tre nuvole di punti mostrano geometricamente i segmenti individuati da K-means; la scritta 'Centroide' indica il profilo medio attorno al quale si concentra ciascun cluster.</x:v>
      </x:c>
      <x:c r="B4" s="99"/>
      <x:c r="C4" s="99"/>
      <x:c r="D4" s="99"/>
      <x:c r="E4" s="99"/>
      <x:c r="F4" s="99"/>
      <x:c r="G4" s="99"/>
      <x:c r="H4" s="99"/>
      <x:c r="I4" s="99"/>
      <x:c r="J4" s="99"/>
      <x:c r="K4" s="99"/>
      <x:c r="L4" s="99"/>
      <x:c r="M4" s="99"/>
      <x:c r="N4" s="99"/>
    </x:row>
    <x:row r="5" ht="24" customHeight="1">
      <x:c r="A5" s="99"/>
      <x:c r="B5" s="99"/>
      <x:c r="C5" s="99"/>
      <x:c r="D5" s="99"/>
      <x:c r="E5" s="99"/>
      <x:c r="F5" s="99"/>
      <x:c r="G5" s="99"/>
      <x:c r="H5" s="99"/>
      <x:c r="I5" s="99"/>
      <x:c r="J5" s="99"/>
      <x:c r="K5" s="99"/>
      <x:c r="L5" s="99"/>
      <x:c r="M5" s="99"/>
      <x:c r="N5" s="99"/>
    </x:row>
    <x:row r="6" ht="24" customHeight="1">
      <x:c r="A6" s="99"/>
      <x:c r="B6" s="99"/>
      <x:c r="C6" s="99"/>
      <x:c r="D6" s="99"/>
      <x:c r="E6" s="99"/>
      <x:c r="F6" s="99"/>
      <x:c r="G6" s="99"/>
      <x:c r="H6" s="99"/>
      <x:c r="I6" s="99"/>
      <x:c r="J6" s="99"/>
      <x:c r="K6" s="99"/>
      <x:c r="L6" s="99"/>
      <x:c r="M6" s="99"/>
      <x:c r="N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</x:row>
  </x:sheetData>
  <x:mergeCells>
    <x:mergeCell ref="A1:N2"/>
    <x:mergeCell ref="A4:N7"/>
  </x:mergeCells>
  <x:pageMargins left="0.7" right="0.7" top="0.75" bottom="0.75" header="0.3" footer="0.3"/>
  <x:drawing xmlns:r="http://schemas.openxmlformats.org/officeDocument/2006/relationships" r:id="R256df088a9b04f9a"/>
</x:worksheet>
</file>